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8350524 (Regresi OLS)\"/>
    </mc:Choice>
  </mc:AlternateContent>
  <xr:revisionPtr revIDLastSave="0" documentId="13_ncr:1_{03A42534-4E6E-48C8-87BD-0C2B664E0D03}" xr6:coauthVersionLast="47" xr6:coauthVersionMax="47" xr10:uidLastSave="{00000000-0000-0000-0000-000000000000}"/>
  <bookViews>
    <workbookView xWindow="-110" yWindow="-110" windowWidth="19420" windowHeight="10300" xr2:uid="{5C3EC747-FB2D-4E70-82D8-1FB92473D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78" i="1"/>
  <c r="D79" i="1"/>
  <c r="E79" i="1"/>
  <c r="F79" i="1"/>
  <c r="G79" i="1"/>
  <c r="D80" i="1"/>
  <c r="E80" i="1"/>
  <c r="F80" i="1"/>
  <c r="G80" i="1"/>
  <c r="D81" i="1"/>
  <c r="E81" i="1"/>
  <c r="F81" i="1"/>
  <c r="G81" i="1"/>
  <c r="D82" i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D91" i="1"/>
  <c r="E91" i="1"/>
  <c r="F91" i="1"/>
  <c r="G91" i="1"/>
  <c r="D92" i="1"/>
  <c r="E92" i="1"/>
  <c r="F92" i="1"/>
  <c r="G92" i="1"/>
  <c r="D93" i="1"/>
  <c r="E93" i="1"/>
  <c r="F93" i="1"/>
  <c r="G93" i="1"/>
  <c r="D94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D102" i="1"/>
  <c r="E102" i="1"/>
  <c r="F102" i="1"/>
  <c r="G102" i="1"/>
  <c r="D103" i="1"/>
  <c r="E103" i="1"/>
  <c r="F103" i="1"/>
  <c r="G103" i="1"/>
  <c r="D104" i="1"/>
  <c r="E104" i="1"/>
  <c r="F104" i="1"/>
  <c r="G104" i="1"/>
  <c r="D105" i="1"/>
  <c r="E105" i="1"/>
  <c r="F105" i="1"/>
  <c r="G105" i="1"/>
  <c r="D106" i="1"/>
  <c r="E106" i="1"/>
  <c r="F106" i="1"/>
  <c r="G106" i="1"/>
  <c r="D107" i="1"/>
  <c r="E107" i="1"/>
  <c r="F107" i="1"/>
  <c r="G107" i="1"/>
  <c r="D108" i="1"/>
  <c r="E108" i="1"/>
  <c r="F108" i="1"/>
  <c r="G108" i="1"/>
  <c r="D109" i="1"/>
  <c r="E109" i="1"/>
  <c r="F109" i="1"/>
  <c r="G109" i="1"/>
  <c r="D110" i="1"/>
  <c r="E110" i="1"/>
  <c r="F110" i="1"/>
  <c r="G110" i="1"/>
  <c r="D111" i="1"/>
  <c r="E111" i="1"/>
  <c r="F111" i="1"/>
  <c r="G111" i="1"/>
  <c r="D112" i="1"/>
  <c r="E112" i="1"/>
  <c r="F112" i="1"/>
  <c r="G112" i="1"/>
  <c r="D113" i="1"/>
  <c r="E113" i="1"/>
  <c r="F113" i="1"/>
  <c r="G113" i="1"/>
  <c r="D114" i="1"/>
  <c r="E114" i="1"/>
  <c r="F114" i="1"/>
  <c r="G114" i="1"/>
  <c r="D115" i="1"/>
  <c r="E115" i="1"/>
  <c r="F115" i="1"/>
  <c r="G115" i="1"/>
  <c r="D116" i="1"/>
  <c r="E116" i="1"/>
  <c r="F116" i="1"/>
  <c r="G116" i="1"/>
  <c r="D117" i="1"/>
  <c r="E117" i="1"/>
  <c r="F117" i="1"/>
  <c r="G117" i="1"/>
  <c r="D118" i="1"/>
  <c r="E118" i="1"/>
  <c r="F118" i="1"/>
  <c r="G118" i="1"/>
  <c r="D119" i="1"/>
  <c r="E119" i="1"/>
  <c r="F119" i="1"/>
  <c r="G119" i="1"/>
  <c r="D120" i="1"/>
  <c r="E120" i="1"/>
  <c r="F120" i="1"/>
  <c r="G120" i="1"/>
  <c r="D121" i="1"/>
  <c r="E121" i="1"/>
  <c r="F121" i="1"/>
  <c r="G121" i="1"/>
  <c r="D122" i="1"/>
  <c r="E122" i="1"/>
  <c r="F122" i="1"/>
  <c r="G122" i="1"/>
  <c r="D123" i="1"/>
  <c r="E123" i="1"/>
  <c r="F123" i="1"/>
  <c r="G123" i="1"/>
  <c r="D124" i="1"/>
  <c r="E124" i="1"/>
  <c r="F124" i="1"/>
  <c r="G124" i="1"/>
  <c r="D125" i="1"/>
  <c r="E125" i="1"/>
  <c r="F125" i="1"/>
  <c r="G125" i="1"/>
  <c r="D126" i="1"/>
  <c r="E126" i="1"/>
  <c r="F126" i="1"/>
  <c r="G126" i="1"/>
  <c r="D127" i="1"/>
  <c r="E127" i="1"/>
  <c r="F127" i="1"/>
  <c r="G127" i="1"/>
  <c r="D128" i="1"/>
  <c r="E128" i="1"/>
  <c r="F128" i="1"/>
  <c r="G128" i="1"/>
  <c r="D129" i="1"/>
  <c r="E129" i="1"/>
  <c r="F129" i="1"/>
  <c r="G129" i="1"/>
  <c r="D130" i="1"/>
  <c r="E130" i="1"/>
  <c r="F130" i="1"/>
  <c r="G130" i="1"/>
  <c r="D131" i="1"/>
  <c r="E131" i="1"/>
  <c r="F131" i="1"/>
  <c r="G131" i="1"/>
  <c r="D132" i="1"/>
  <c r="E132" i="1"/>
  <c r="F132" i="1"/>
  <c r="G132" i="1"/>
  <c r="D133" i="1"/>
  <c r="E133" i="1"/>
  <c r="F133" i="1"/>
  <c r="G133" i="1"/>
  <c r="D134" i="1"/>
  <c r="E134" i="1"/>
  <c r="F134" i="1"/>
  <c r="G134" i="1"/>
  <c r="D135" i="1"/>
  <c r="E135" i="1"/>
  <c r="F135" i="1"/>
  <c r="G135" i="1"/>
  <c r="D136" i="1"/>
  <c r="E136" i="1"/>
  <c r="F136" i="1"/>
  <c r="G136" i="1"/>
  <c r="D137" i="1"/>
  <c r="E137" i="1"/>
  <c r="F137" i="1"/>
  <c r="G137" i="1"/>
</calcChain>
</file>

<file path=xl/sharedStrings.xml><?xml version="1.0" encoding="utf-8"?>
<sst xmlns="http://schemas.openxmlformats.org/spreadsheetml/2006/main" count="143" uniqueCount="41">
  <si>
    <t>No</t>
  </si>
  <si>
    <t>Kode</t>
  </si>
  <si>
    <t>Tahun</t>
  </si>
  <si>
    <t>Rt_Y</t>
  </si>
  <si>
    <t>TVA_X1</t>
  </si>
  <si>
    <t>ROA_X2</t>
  </si>
  <si>
    <t>DER_X3</t>
  </si>
  <si>
    <t>AGRO</t>
  </si>
  <si>
    <t>BACA</t>
  </si>
  <si>
    <t>BBCA</t>
  </si>
  <si>
    <t>BBKP</t>
  </si>
  <si>
    <t>BBNI</t>
  </si>
  <si>
    <t>BRIS</t>
  </si>
  <si>
    <t>BBRI</t>
  </si>
  <si>
    <t>BBTN</t>
  </si>
  <si>
    <t>BBYB</t>
  </si>
  <si>
    <t>BCIC</t>
  </si>
  <si>
    <t>BDMN</t>
  </si>
  <si>
    <t>BEKS</t>
  </si>
  <si>
    <t>BGTG</t>
  </si>
  <si>
    <t>BINA</t>
  </si>
  <si>
    <t>BJBR</t>
  </si>
  <si>
    <t>BJTM</t>
  </si>
  <si>
    <t>BKSW</t>
  </si>
  <si>
    <t>BMAS</t>
  </si>
  <si>
    <t>BMRI</t>
  </si>
  <si>
    <t>BNBA</t>
  </si>
  <si>
    <t>BNGA</t>
  </si>
  <si>
    <t>BNII</t>
  </si>
  <si>
    <t>BNLI</t>
  </si>
  <si>
    <t>BSIM</t>
  </si>
  <si>
    <t>BSWD</t>
  </si>
  <si>
    <t>BTPN</t>
  </si>
  <si>
    <t>BVIC</t>
  </si>
  <si>
    <t>DNAR</t>
  </si>
  <si>
    <t>INPC</t>
  </si>
  <si>
    <t>MAYA</t>
  </si>
  <si>
    <t>NOBU</t>
  </si>
  <si>
    <t>PNBN</t>
  </si>
  <si>
    <t>PNBS</t>
  </si>
  <si>
    <t>SDRA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</si>
</sst>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71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rgb="FF01020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/>
    </xf>
    <xf numFmtId="17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B72D-C7ED-48A0-80B2-03DCCFDAD9F7}">
  <dimension ref="A1:J137"/>
  <sheetViews>
    <sheetView tabSelected="1" topLeftCell="A129" workbookViewId="0">
      <selection activeCell="J2" sqref="J2"/>
    </sheetView>
  </sheetViews>
  <sheetFormatPr defaultRowHeight="14.5" x14ac:dyDescent="0.35"/>
  <cols>
    <col min="1" max="1" width="4.08984375" bestFit="1" customWidth="1"/>
    <col min="2" max="2" width="6.90625" bestFit="1" customWidth="1"/>
    <col min="3" max="3" width="6.81640625" bestFit="1" customWidth="1"/>
    <col min="4" max="4" width="9.6328125" bestFit="1" customWidth="1"/>
    <col min="5" max="5" width="10.08984375" bestFit="1" customWidth="1"/>
    <col min="6" max="6" width="9.6328125" bestFit="1" customWidth="1"/>
    <col min="7" max="7" width="10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10" x14ac:dyDescent="0.35">
      <c r="A2" s="3">
        <v>1</v>
      </c>
      <c r="B2" s="4" t="s">
        <v>7</v>
      </c>
      <c r="C2" s="3">
        <v>2019</v>
      </c>
      <c r="D2" s="5">
        <f>(150-331)/331</f>
        <v>-0.54682779456193353</v>
      </c>
      <c r="E2" s="5">
        <f>((1825177644000+12575329000)/100)/21343290230</f>
        <v>0.86104483104337193</v>
      </c>
      <c r="F2" s="5">
        <f>51061421/27067922912</f>
        <v>1.8864181476356645E-3</v>
      </c>
      <c r="G2" s="5">
        <f>(22586218693/4481704219)</f>
        <v>5.0396495594793294</v>
      </c>
      <c r="J2" s="6"/>
    </row>
    <row r="3" spans="1:10" x14ac:dyDescent="0.35">
      <c r="A3" s="3">
        <v>2</v>
      </c>
      <c r="B3" s="4" t="s">
        <v>7</v>
      </c>
      <c r="C3" s="3">
        <v>2020</v>
      </c>
      <c r="D3" s="5">
        <f>(788-150)/150</f>
        <v>4.253333333333333</v>
      </c>
      <c r="E3" s="5">
        <f>((1827438716000+16774476000)/100)/21343290230</f>
        <v>0.86407164599569797</v>
      </c>
      <c r="F3" s="5">
        <f>31260682/28015492262</f>
        <v>1.1158355422653684E-3</v>
      </c>
      <c r="G3" s="5">
        <f>23727802051/4287690211</f>
        <v>5.5339357284084345</v>
      </c>
    </row>
    <row r="4" spans="1:10" x14ac:dyDescent="0.35">
      <c r="A4" s="3">
        <v>3</v>
      </c>
      <c r="B4" s="4" t="s">
        <v>7</v>
      </c>
      <c r="C4" s="3">
        <v>2021</v>
      </c>
      <c r="D4" s="5">
        <f>(1275-788)/788</f>
        <v>0.61802030456852797</v>
      </c>
      <c r="E4" s="5">
        <f>((2943713773000+81544000)/100)/22746526712</f>
        <v>1.2941735475803398</v>
      </c>
      <c r="F4" s="5">
        <f>-3045701407/16866522655</f>
        <v>-0.18057672404080971</v>
      </c>
      <c r="G4" s="5">
        <f>14408859476/2457663179</f>
        <v>5.8628292107394593</v>
      </c>
    </row>
    <row r="5" spans="1:10" x14ac:dyDescent="0.35">
      <c r="A5" s="3">
        <v>4</v>
      </c>
      <c r="B5" s="4" t="s">
        <v>7</v>
      </c>
      <c r="C5" s="3">
        <v>2022</v>
      </c>
      <c r="D5" s="5">
        <f>(440-1275)/1275</f>
        <v>-0.65490196078431373</v>
      </c>
      <c r="E5" s="5">
        <f>((3734973042000+57826000)/100)/24740107814</f>
        <v>1.509706787084578</v>
      </c>
      <c r="F5" s="5">
        <f>11460505/13898775065</f>
        <v>8.2456942762243338E-4</v>
      </c>
      <c r="G5" s="5">
        <f>10509687783/3389097282</f>
        <v>3.1010286540957428</v>
      </c>
    </row>
    <row r="6" spans="1:10" x14ac:dyDescent="0.35">
      <c r="A6" s="3">
        <v>5</v>
      </c>
      <c r="B6" s="4" t="s">
        <v>8</v>
      </c>
      <c r="C6" s="3">
        <v>2019</v>
      </c>
      <c r="D6" s="5">
        <f>(310-296)/296</f>
        <v>4.72972972972973E-2</v>
      </c>
      <c r="E6" s="5">
        <f>(8472000000/100)/7070128427</f>
        <v>1.1982809205624067E-2</v>
      </c>
      <c r="F6" s="5">
        <f>15886/18959622</f>
        <v>8.3788590299954289E-4</v>
      </c>
      <c r="G6" s="5">
        <f>17421982/1537640</f>
        <v>11.330338700866262</v>
      </c>
    </row>
    <row r="7" spans="1:10" x14ac:dyDescent="0.35">
      <c r="A7" s="3">
        <v>6</v>
      </c>
      <c r="B7" s="4" t="s">
        <v>8</v>
      </c>
      <c r="C7" s="3">
        <v>2020</v>
      </c>
      <c r="D7" s="5">
        <f>(376-310)/310</f>
        <v>0.2129032258064516</v>
      </c>
      <c r="E7" s="5">
        <f>(8472000000/100)/7070141850</f>
        <v>1.1982786455691834E-2</v>
      </c>
      <c r="F7" s="5">
        <f>61414/20223558</f>
        <v>3.036755451241567E-3</v>
      </c>
      <c r="G7" s="5">
        <f>18583167/1640391</f>
        <v>11.328498510416114</v>
      </c>
    </row>
    <row r="8" spans="1:10" x14ac:dyDescent="0.35">
      <c r="A8" s="3">
        <v>7</v>
      </c>
      <c r="B8" s="4" t="s">
        <v>8</v>
      </c>
      <c r="C8" s="3">
        <v>2021</v>
      </c>
      <c r="D8" s="5">
        <f>(214-376)/376</f>
        <v>-0.43085106382978722</v>
      </c>
      <c r="E8" s="5">
        <f>((8488000000+300000000000)/100)/7078002482</f>
        <v>0.43584048011358129</v>
      </c>
      <c r="F8" s="5">
        <f>34785/22325883</f>
        <v>1.5580570766226805E-3</v>
      </c>
      <c r="G8" s="5">
        <f>20203112/2122771</f>
        <v>9.5173299427964668</v>
      </c>
    </row>
    <row r="9" spans="1:10" x14ac:dyDescent="0.35">
      <c r="A9" s="3">
        <v>8</v>
      </c>
      <c r="B9" s="4" t="s">
        <v>8</v>
      </c>
      <c r="C9" s="3">
        <v>2022</v>
      </c>
      <c r="D9" s="5">
        <f>(130-214)/214</f>
        <v>-0.3925233644859813</v>
      </c>
      <c r="E9" s="5">
        <f>(21363000000/100)/19953024885</f>
        <v>1.0706647299407707E-2</v>
      </c>
      <c r="F9" s="5">
        <f>32129/20628501</f>
        <v>1.5575053175216173E-3</v>
      </c>
      <c r="G9" s="5">
        <f>17340964/3287537</f>
        <v>5.2747585806638826</v>
      </c>
    </row>
    <row r="10" spans="1:10" x14ac:dyDescent="0.35">
      <c r="A10" s="3">
        <v>9</v>
      </c>
      <c r="B10" s="4" t="s">
        <v>9</v>
      </c>
      <c r="C10" s="3">
        <v>2019</v>
      </c>
      <c r="D10" s="5">
        <f>(6480-5635)/5635</f>
        <v>0.14995563442768411</v>
      </c>
      <c r="E10" s="5">
        <f>(5548977000000/62.5)/24655010000</f>
        <v>3.6010381662793889</v>
      </c>
      <c r="F10" s="5">
        <f>28569974/918989312</f>
        <v>3.1088472550157363E-2</v>
      </c>
      <c r="G10" s="5">
        <f>740067127/174143156</f>
        <v>4.2497629191927588</v>
      </c>
    </row>
    <row r="11" spans="1:10" x14ac:dyDescent="0.35">
      <c r="A11" s="3">
        <v>10</v>
      </c>
      <c r="B11" s="4" t="s">
        <v>9</v>
      </c>
      <c r="C11" s="3">
        <v>2020</v>
      </c>
      <c r="D11" s="5">
        <f>(6760-6480)/6480</f>
        <v>4.3209876543209874E-2</v>
      </c>
      <c r="E11" s="5">
        <f>(5548977000000/62.5)/24655010000</f>
        <v>3.6010381662793889</v>
      </c>
      <c r="F11" s="5">
        <f>27147109/1075570256</f>
        <v>2.5239735710951085E-2</v>
      </c>
      <c r="G11" s="5">
        <f>885537919/184714709</f>
        <v>4.7940844765102062</v>
      </c>
    </row>
    <row r="12" spans="1:10" x14ac:dyDescent="0.35">
      <c r="A12" s="3">
        <v>11</v>
      </c>
      <c r="B12" s="4" t="s">
        <v>9</v>
      </c>
      <c r="C12" s="3">
        <v>2021</v>
      </c>
      <c r="D12" s="5">
        <f>(7625-6760)/6760</f>
        <v>0.12795857988165679</v>
      </c>
      <c r="E12" s="5">
        <f>(5548977000000/12.5)/123275050000</f>
        <v>3.6010381662793889</v>
      </c>
      <c r="F12" s="5">
        <f>31440159/1228344680</f>
        <v>2.5595551079359909E-2</v>
      </c>
      <c r="G12" s="5">
        <f>1019773758/202848934</f>
        <v>5.0272571705996736</v>
      </c>
    </row>
    <row r="13" spans="1:10" x14ac:dyDescent="0.35">
      <c r="A13" s="3">
        <v>12</v>
      </c>
      <c r="B13" s="4" t="s">
        <v>9</v>
      </c>
      <c r="C13" s="3">
        <v>2022</v>
      </c>
      <c r="D13" s="5">
        <f>(8475-7625)/7625</f>
        <v>0.11147540983606558</v>
      </c>
      <c r="E13" s="5">
        <f>(5548977000000/12.5)/123275050000</f>
        <v>3.6010381662793889</v>
      </c>
      <c r="F13" s="5">
        <f>40755572/1314731674</f>
        <v>3.0999155801885701E-2</v>
      </c>
      <c r="G13" s="5">
        <f>1087109644/221181655</f>
        <v>4.9150081818494398</v>
      </c>
    </row>
    <row r="14" spans="1:10" x14ac:dyDescent="0.35">
      <c r="A14" s="3">
        <v>13</v>
      </c>
      <c r="B14" s="4" t="s">
        <v>10</v>
      </c>
      <c r="C14" s="3">
        <v>2019</v>
      </c>
      <c r="D14" s="5">
        <f>(158-257)/257</f>
        <v>-0.38521400778210119</v>
      </c>
      <c r="E14" s="5">
        <f>(2923938000000/100)/11651908748</f>
        <v>2.5094068819427386</v>
      </c>
      <c r="F14" s="5">
        <f>-3258109/100264248</f>
        <v>-3.2495222025701521E-2</v>
      </c>
      <c r="G14" s="5">
        <f>91268763/8905485</f>
        <v>10.248601058785681</v>
      </c>
    </row>
    <row r="15" spans="1:10" x14ac:dyDescent="0.35">
      <c r="A15" s="3">
        <v>14</v>
      </c>
      <c r="B15" s="4" t="s">
        <v>10</v>
      </c>
      <c r="C15" s="3">
        <v>2020</v>
      </c>
      <c r="D15" s="5">
        <f>(328-158)/158</f>
        <v>1.0759493670886076</v>
      </c>
      <c r="E15" s="5">
        <f>(4769251000000/100)/32673251194</f>
        <v>1.4596805722461461</v>
      </c>
      <c r="F15" s="5">
        <f>216749/79938578</f>
        <v>2.7114442791314102E-3</v>
      </c>
      <c r="G15" s="5">
        <f>71471136/8466442</f>
        <v>8.4416967599848913</v>
      </c>
    </row>
    <row r="16" spans="1:10" x14ac:dyDescent="0.35">
      <c r="A16" s="3">
        <v>15</v>
      </c>
      <c r="B16" s="4" t="s">
        <v>10</v>
      </c>
      <c r="C16" s="3">
        <v>2021</v>
      </c>
      <c r="D16" s="5">
        <f>(275-328)/328</f>
        <v>-0.16158536585365854</v>
      </c>
      <c r="E16" s="5">
        <f>(8286428000000/100)/67887540178</f>
        <v>1.220611024979418</v>
      </c>
      <c r="F16" s="5">
        <f>-2302279/89215674</f>
        <v>-2.5805768165804589E-2</v>
      </c>
      <c r="G16" s="5">
        <f>76009770/13205904</f>
        <v>5.7557415228824924</v>
      </c>
    </row>
    <row r="17" spans="1:7" x14ac:dyDescent="0.35">
      <c r="A17" s="3">
        <v>16</v>
      </c>
      <c r="B17" s="4" t="s">
        <v>10</v>
      </c>
      <c r="C17" s="3">
        <v>2022</v>
      </c>
      <c r="D17" s="5">
        <f>(118-275)/275</f>
        <v>-0.57090909090909092</v>
      </c>
      <c r="E17" s="5">
        <f>(8286428000000/100)/67887540178</f>
        <v>1.220611024979418</v>
      </c>
      <c r="F17" s="5">
        <f>-5032504/89995352</f>
        <v>-5.5919599047737488E-2</v>
      </c>
      <c r="G17" s="5">
        <f>78778747/11216605</f>
        <v>7.0234038730970738</v>
      </c>
    </row>
    <row r="18" spans="1:7" x14ac:dyDescent="0.35">
      <c r="A18" s="3">
        <v>17</v>
      </c>
      <c r="B18" s="4" t="s">
        <v>11</v>
      </c>
      <c r="C18" s="3">
        <v>2019</v>
      </c>
      <c r="D18" s="5">
        <f>(3600-4538)/4538</f>
        <v>-0.20669898633759365</v>
      </c>
      <c r="E18" s="5">
        <f>(14568468000000/7500)/(289341867+18339734891)</f>
        <v>0.10427045984261331</v>
      </c>
      <c r="F18" s="5">
        <f>15508583/845605208</f>
        <v>1.8340216986932275E-2</v>
      </c>
      <c r="G18" s="5">
        <f>688489442/125003948</f>
        <v>5.5077415794899531</v>
      </c>
    </row>
    <row r="19" spans="1:7" x14ac:dyDescent="0.35">
      <c r="A19" s="3">
        <v>18</v>
      </c>
      <c r="B19" s="4" t="s">
        <v>11</v>
      </c>
      <c r="C19" s="3">
        <v>2020</v>
      </c>
      <c r="D19" s="5">
        <f>(2775-3600)/3600</f>
        <v>-0.22916666666666666</v>
      </c>
      <c r="E19" s="5">
        <f>(14568468000000/7500)/(289341867+18339734891)</f>
        <v>0.10427045984261331</v>
      </c>
      <c r="F19" s="5">
        <f>3321442/891337425</f>
        <v>3.72635761367251E-3</v>
      </c>
      <c r="G19" s="5">
        <f>746235663/891337425</f>
        <v>0.83720894250569589</v>
      </c>
    </row>
    <row r="20" spans="1:7" x14ac:dyDescent="0.35">
      <c r="A20" s="3">
        <v>19</v>
      </c>
      <c r="B20" s="4" t="s">
        <v>11</v>
      </c>
      <c r="C20" s="3">
        <v>2021</v>
      </c>
      <c r="D20" s="5">
        <f>(3663-2775)/2775</f>
        <v>0.32</v>
      </c>
      <c r="E20" s="5">
        <f>(17010254000000/7500)/(289341867+18359314591)</f>
        <v>0.1216191564134752</v>
      </c>
      <c r="F20" s="5">
        <f>10997051/964837692</f>
        <v>1.1397824827100557E-2</v>
      </c>
      <c r="G20" s="5">
        <f>838317715/126519977</f>
        <v>6.6259711302350297</v>
      </c>
    </row>
    <row r="21" spans="1:7" x14ac:dyDescent="0.35">
      <c r="A21" s="3">
        <v>20</v>
      </c>
      <c r="B21" s="4" t="s">
        <v>11</v>
      </c>
      <c r="C21" s="3">
        <v>2022</v>
      </c>
      <c r="D21" s="5">
        <f>(4575-3663)/3663</f>
        <v>0.24897624897624898</v>
      </c>
      <c r="E21" s="5">
        <f>(17010254000000/7500)/(289341867+18359314591)</f>
        <v>0.1216191564134752</v>
      </c>
      <c r="F21" s="5">
        <f>18481780/1029836868</f>
        <v>1.7946318076466457E-2</v>
      </c>
      <c r="G21" s="5">
        <f>889639206/140197662</f>
        <v>6.3456065765205132</v>
      </c>
    </row>
    <row r="22" spans="1:7" x14ac:dyDescent="0.35">
      <c r="A22" s="3">
        <v>21</v>
      </c>
      <c r="B22" s="4" t="s">
        <v>12</v>
      </c>
      <c r="C22" s="3">
        <v>2019</v>
      </c>
      <c r="D22" s="5">
        <f>(302-546)/546</f>
        <v>-0.44688644688644691</v>
      </c>
      <c r="E22" s="5">
        <f>(517000000/500)/9716113498</f>
        <v>1.0642115288307843E-4</v>
      </c>
      <c r="F22" s="5">
        <f>74016/43123488</f>
        <v>1.7163732210158881E-3</v>
      </c>
      <c r="G22" s="5">
        <f>11880036/5088036</f>
        <v>2.334896215356967</v>
      </c>
    </row>
    <row r="23" spans="1:7" x14ac:dyDescent="0.35">
      <c r="A23" s="3">
        <v>22</v>
      </c>
      <c r="B23" s="4" t="s">
        <v>12</v>
      </c>
      <c r="C23" s="3">
        <v>2020</v>
      </c>
      <c r="D23" s="5">
        <f>(2380-302)/302</f>
        <v>6.8807947019867548</v>
      </c>
      <c r="E23" s="5">
        <f>(14964000000/500)/9900508698</f>
        <v>3.0228749767217265E-3</v>
      </c>
      <c r="F23" s="5">
        <f>248054/57715586</f>
        <v>4.2978685168335636E-3</v>
      </c>
      <c r="G23" s="5">
        <f>17475112/5444288</f>
        <v>3.2098066817919992</v>
      </c>
    </row>
    <row r="24" spans="1:7" x14ac:dyDescent="0.35">
      <c r="A24" s="3">
        <v>23</v>
      </c>
      <c r="B24" s="4" t="s">
        <v>12</v>
      </c>
      <c r="C24" s="3">
        <v>2021</v>
      </c>
      <c r="D24" s="5">
        <f>(1507-2380)/2380</f>
        <v>-0.3668067226890756</v>
      </c>
      <c r="E24" s="5">
        <f>(-6366776000000/500)/41129307343</f>
        <v>-0.30959801714645668</v>
      </c>
      <c r="F24" s="5">
        <f>3028205/265289081</f>
        <v>1.1414736666074846E-2</v>
      </c>
      <c r="G24" s="5">
        <f>61886476/25013934</f>
        <v>2.4740800867228643</v>
      </c>
    </row>
    <row r="25" spans="1:7" x14ac:dyDescent="0.35">
      <c r="A25" s="3">
        <v>24</v>
      </c>
      <c r="B25" s="4" t="s">
        <v>12</v>
      </c>
      <c r="C25" s="3">
        <v>2022</v>
      </c>
      <c r="D25" s="5">
        <f>(1335-1507)/1507</f>
        <v>-0.11413404114134042</v>
      </c>
      <c r="E25" s="5">
        <f>(-3929100000000/500)/41129307343</f>
        <v>-0.1910608397672767</v>
      </c>
      <c r="F25" s="5">
        <f>4260182/305727438</f>
        <v>1.3934575280089843E-2</v>
      </c>
      <c r="G25" s="5">
        <f>73655791/33505610</f>
        <v>2.1983121930924403</v>
      </c>
    </row>
    <row r="26" spans="1:7" x14ac:dyDescent="0.35">
      <c r="A26" s="3">
        <v>25</v>
      </c>
      <c r="B26" s="4" t="s">
        <v>13</v>
      </c>
      <c r="C26" s="3">
        <v>2019</v>
      </c>
      <c r="D26" s="5">
        <f>(4351-3756)/3756</f>
        <v>0.15841320553780619</v>
      </c>
      <c r="E26" s="5">
        <f>(2900994000000/50)/123345810000</f>
        <v>0.47038387440967794</v>
      </c>
      <c r="F26" s="5">
        <f>34413825/1416758840</f>
        <v>2.4290531337005809E-2</v>
      </c>
      <c r="G26" s="5">
        <f>1183155670/208784336</f>
        <v>5.6668794827596649</v>
      </c>
    </row>
    <row r="27" spans="1:7" x14ac:dyDescent="0.35">
      <c r="A27" s="3">
        <v>26</v>
      </c>
      <c r="B27" s="4" t="s">
        <v>13</v>
      </c>
      <c r="C27" s="3">
        <v>2020</v>
      </c>
      <c r="D27" s="5">
        <f>(4078-4351)/4351</f>
        <v>-6.2744196736382443E-2</v>
      </c>
      <c r="E27" s="5">
        <f>(3411813000000/50)/123345810000</f>
        <v>0.55321100895117559</v>
      </c>
      <c r="F27" s="5">
        <f>18660393/1511804628</f>
        <v>1.2343124669942472E-2</v>
      </c>
      <c r="G27" s="5">
        <f>1278346276/1511804628</f>
        <v>0.84557637430383625</v>
      </c>
    </row>
    <row r="28" spans="1:7" x14ac:dyDescent="0.35">
      <c r="A28" s="3">
        <v>27</v>
      </c>
      <c r="B28" s="4" t="s">
        <v>13</v>
      </c>
      <c r="C28" s="3">
        <v>2021</v>
      </c>
      <c r="D28" s="5">
        <f>(4070-4078)/4078</f>
        <v>-1.9617459538989702E-3</v>
      </c>
      <c r="E28" s="5">
        <f>(76242898000000/50)/151559001604</f>
        <v>10.061150732466658</v>
      </c>
      <c r="F28" s="5">
        <f>30755766/1678097734</f>
        <v>1.8327756111492371E-2</v>
      </c>
      <c r="G28" s="5">
        <f>1386310930/291786804</f>
        <v>4.7511090666046707</v>
      </c>
    </row>
    <row r="29" spans="1:7" x14ac:dyDescent="0.35">
      <c r="A29" s="3">
        <v>28</v>
      </c>
      <c r="B29" s="4" t="s">
        <v>13</v>
      </c>
      <c r="C29" s="3">
        <v>2022</v>
      </c>
      <c r="D29" s="5">
        <f>(4580-4070)/4070</f>
        <v>0.12530712530712532</v>
      </c>
      <c r="E29" s="5">
        <f>(75637083000000/50)/151559001604</f>
        <v>9.9812062892348532</v>
      </c>
      <c r="F29" s="5">
        <f>51408207/1865639010</f>
        <v>2.755528091149852E-2</v>
      </c>
      <c r="G29" s="5">
        <f>1562243693/1865639010</f>
        <v>0.83737726571229876</v>
      </c>
    </row>
    <row r="30" spans="1:7" x14ac:dyDescent="0.35">
      <c r="A30" s="3">
        <v>29</v>
      </c>
      <c r="B30" s="4" t="s">
        <v>14</v>
      </c>
      <c r="C30" s="3">
        <v>2019</v>
      </c>
      <c r="D30" s="5">
        <f>(1803-2642)/2642</f>
        <v>-0.31756245268735805</v>
      </c>
      <c r="E30" s="5">
        <f>(2054454000000/500)/10590000000</f>
        <v>0.38799886685552409</v>
      </c>
      <c r="F30" s="5">
        <f>209263/311776828</f>
        <v>6.7119484582093441E-4</v>
      </c>
      <c r="G30" s="5">
        <f>269451682/23836195</f>
        <v>11.304307671589362</v>
      </c>
    </row>
    <row r="31" spans="1:7" x14ac:dyDescent="0.35">
      <c r="A31" s="3">
        <v>30</v>
      </c>
      <c r="B31" s="4" t="s">
        <v>14</v>
      </c>
      <c r="C31" s="3">
        <v>2020</v>
      </c>
      <c r="D31" s="5">
        <f>(1514-1803)/1803</f>
        <v>-0.16028840820854132</v>
      </c>
      <c r="E31" s="5">
        <f>(2054454000000/500)/10590000000</f>
        <v>0.38799886685552409</v>
      </c>
      <c r="F31" s="5">
        <f>1602358/361208406</f>
        <v>4.4361038485909434E-3</v>
      </c>
      <c r="G31" s="5">
        <f>321376142/19987845</f>
        <v>16.078578856299917</v>
      </c>
    </row>
    <row r="32" spans="1:7" x14ac:dyDescent="0.35">
      <c r="A32" s="3">
        <v>31</v>
      </c>
      <c r="B32" s="4" t="s">
        <v>14</v>
      </c>
      <c r="C32" s="3">
        <v>2021</v>
      </c>
      <c r="D32" s="5">
        <f>(1630-1514)/1514</f>
        <v>7.6618229854689565E-2</v>
      </c>
      <c r="E32" s="5">
        <f t="shared" ref="E32:E33" si="0">(2054454000000/500)/10590000000</f>
        <v>0.38799886685552409</v>
      </c>
      <c r="F32" s="5">
        <f>2376227/371868311</f>
        <v>6.3899690554702843E-3</v>
      </c>
      <c r="G32" s="5">
        <f>327693592/21406647</f>
        <v>15.308029884362554</v>
      </c>
    </row>
    <row r="33" spans="1:7" x14ac:dyDescent="0.35">
      <c r="A33" s="3">
        <v>32</v>
      </c>
      <c r="B33" s="4" t="s">
        <v>14</v>
      </c>
      <c r="C33" s="3">
        <v>2022</v>
      </c>
      <c r="D33" s="5">
        <f>(1360-1630)/1630</f>
        <v>-0.16564417177914109</v>
      </c>
      <c r="E33" s="5">
        <f t="shared" si="0"/>
        <v>0.38799886685552409</v>
      </c>
      <c r="F33" s="5">
        <f>3045073/402148312</f>
        <v>7.5720148739552582E-3</v>
      </c>
      <c r="G33" s="5">
        <f>351376683/25909354</f>
        <v>13.56176935171753</v>
      </c>
    </row>
    <row r="34" spans="1:7" x14ac:dyDescent="0.35">
      <c r="A34" s="3">
        <v>33</v>
      </c>
      <c r="B34" s="4" t="s">
        <v>15</v>
      </c>
      <c r="C34" s="3">
        <v>2019</v>
      </c>
      <c r="D34" s="5">
        <f>(239-236)/236</f>
        <v>1.2711864406779662E-2</v>
      </c>
      <c r="E34" s="5">
        <f>(251914965112/100)/6161782101</f>
        <v>0.40883458873223794</v>
      </c>
      <c r="F34" s="5">
        <f>16002797471 /5123734649117</f>
        <v>3.1232681953500159E-3</v>
      </c>
      <c r="G34" s="5">
        <f>4177951053821/945783595296</f>
        <v>4.4174492712716535</v>
      </c>
    </row>
    <row r="35" spans="1:7" x14ac:dyDescent="0.35">
      <c r="A35" s="3">
        <v>34</v>
      </c>
      <c r="B35" s="4" t="s">
        <v>15</v>
      </c>
      <c r="C35" s="3">
        <v>2020</v>
      </c>
      <c r="D35" s="5">
        <f>(270-239)/239</f>
        <v>0.1297071129707113</v>
      </c>
      <c r="E35" s="5">
        <f>(350501792712/100)/6661795239</f>
        <v>0.52613714492463703</v>
      </c>
      <c r="F35" s="5">
        <f>15871502695/5421324398438</f>
        <v>2.9276061582983156E-3</v>
      </c>
      <c r="G35" s="5">
        <f>4300705118122/1120619280316</f>
        <v>3.8377932574114353</v>
      </c>
    </row>
    <row r="36" spans="1:7" x14ac:dyDescent="0.35">
      <c r="A36" s="3">
        <v>35</v>
      </c>
      <c r="B36" s="4" t="s">
        <v>15</v>
      </c>
      <c r="C36" s="3">
        <v>2021</v>
      </c>
      <c r="D36" s="5">
        <f>(1802-270)/270</f>
        <v>5.674074074074074</v>
      </c>
      <c r="E36" s="5">
        <f>(2827225000000/100)/9421681836</f>
        <v>3.0007646715443599</v>
      </c>
      <c r="F36" s="5">
        <f>986289/11337809</f>
        <v>8.6991146172951048E-2</v>
      </c>
      <c r="G36" s="5">
        <f>8447982/2889827</f>
        <v>2.9233521591430907</v>
      </c>
    </row>
    <row r="37" spans="1:7" x14ac:dyDescent="0.35">
      <c r="A37" s="3">
        <v>36</v>
      </c>
      <c r="B37" s="4" t="s">
        <v>15</v>
      </c>
      <c r="C37" s="3">
        <v>2022</v>
      </c>
      <c r="D37" s="5">
        <f>(740-1802)/1802</f>
        <v>-0.58934517203107661</v>
      </c>
      <c r="E37" s="5">
        <f>(2825444000000/100)/9421681836</f>
        <v>2.9988743508659486</v>
      </c>
      <c r="F37" s="5">
        <f>-789059/19694380</f>
        <v>-4.0065186108930569E-2</v>
      </c>
      <c r="G37" s="5">
        <f>15949690/3744590</f>
        <v>4.2593955546535138</v>
      </c>
    </row>
    <row r="38" spans="1:7" x14ac:dyDescent="0.35">
      <c r="A38" s="3">
        <v>37</v>
      </c>
      <c r="B38" s="4" t="s">
        <v>16</v>
      </c>
      <c r="C38" s="3">
        <v>2019</v>
      </c>
      <c r="D38" s="5">
        <f>(152-875)/875</f>
        <v>-0.82628571428571429</v>
      </c>
      <c r="E38" s="5">
        <f>(178765000000/1000)/(10011841000+283501)</f>
        <v>1.7854851883048913E-2</v>
      </c>
      <c r="F38" s="5">
        <f>11558/17311597</f>
        <v>6.6764493189161E-4</v>
      </c>
      <c r="G38" s="5">
        <f>15637771/1673826</f>
        <v>9.3425308245898915</v>
      </c>
    </row>
    <row r="39" spans="1:7" x14ac:dyDescent="0.35">
      <c r="A39" s="3">
        <v>38</v>
      </c>
      <c r="B39" s="4" t="s">
        <v>16</v>
      </c>
      <c r="C39" s="3">
        <v>2020</v>
      </c>
      <c r="D39" s="5">
        <f>(106-152)/152</f>
        <v>-0.30263157894736842</v>
      </c>
      <c r="E39" s="5">
        <f>(178765000000/1000)/(10011841000+283501)</f>
        <v>1.7854851883048913E-2</v>
      </c>
      <c r="F39" s="5">
        <f>-584870/16204908</f>
        <v>-3.6092151834493602E-2</v>
      </c>
      <c r="G39" s="5">
        <f>14761678/1443230</f>
        <v>10.228222805789791</v>
      </c>
    </row>
    <row r="40" spans="1:7" x14ac:dyDescent="0.35">
      <c r="A40" s="3">
        <v>39</v>
      </c>
      <c r="B40" s="4" t="s">
        <v>16</v>
      </c>
      <c r="C40" s="3">
        <v>2021</v>
      </c>
      <c r="D40" s="5">
        <f>(158-580)/580</f>
        <v>-0.72758620689655173</v>
      </c>
      <c r="E40" s="5">
        <f>(1125357000000/1000)/(10011841000+283501+4130257580)</f>
        <v>7.9573369857677226E-2</v>
      </c>
      <c r="F40" s="5">
        <f>-445423/21317575</f>
        <v>-2.0894637405990128E-2</v>
      </c>
      <c r="G40" s="5">
        <f>18657788/2659787</f>
        <v>7.0147677238816488</v>
      </c>
    </row>
    <row r="41" spans="1:7" x14ac:dyDescent="0.35">
      <c r="A41" s="3">
        <v>40</v>
      </c>
      <c r="B41" s="4" t="s">
        <v>16</v>
      </c>
      <c r="C41" s="3">
        <v>2022</v>
      </c>
      <c r="D41" s="5">
        <f>(127-168)/168</f>
        <v>-0.24404761904761904</v>
      </c>
      <c r="E41" s="5">
        <f>(1915423000000/1000)/(10011841000+283501+8097797508)</f>
        <v>0.10576649634648352</v>
      </c>
      <c r="F41" s="5">
        <f>86621/33617390</f>
        <v>2.5766723710555755E-3</v>
      </c>
      <c r="G41" s="5">
        <f>29891015/3726375</f>
        <v>8.021472610781256</v>
      </c>
    </row>
    <row r="42" spans="1:7" x14ac:dyDescent="0.35">
      <c r="A42" s="3">
        <v>41</v>
      </c>
      <c r="B42" s="4" t="s">
        <v>17</v>
      </c>
      <c r="C42" s="3">
        <v>2019</v>
      </c>
      <c r="D42" s="5">
        <f>(3480-9100)/9100</f>
        <v>-0.61758241758241761</v>
      </c>
      <c r="E42" s="5">
        <f>(7985971000000/500)/(22400000+9751152870)</f>
        <v>1.6342001943864248</v>
      </c>
      <c r="F42" s="5">
        <f>4240671/193533970</f>
        <v>2.1911765670905217E-2</v>
      </c>
      <c r="G42" s="5">
        <f>148116943/45417027</f>
        <v>3.2612646133794709</v>
      </c>
    </row>
    <row r="43" spans="1:7" x14ac:dyDescent="0.35">
      <c r="A43" s="3">
        <v>42</v>
      </c>
      <c r="B43" s="4" t="s">
        <v>17</v>
      </c>
      <c r="C43" s="3">
        <v>2020</v>
      </c>
      <c r="D43" s="5">
        <f>(2860-3480)/3480</f>
        <v>-0.17816091954022989</v>
      </c>
      <c r="E43" s="5">
        <f>(7985971000000/500)/(22400000+9751152870)</f>
        <v>1.6342001943864248</v>
      </c>
      <c r="F43" s="5">
        <f>1088942/200890068</f>
        <v>5.4205865468670159E-3</v>
      </c>
      <c r="G43" s="5">
        <f>157314569/43575499</f>
        <v>3.6101610448568815</v>
      </c>
    </row>
    <row r="44" spans="1:7" x14ac:dyDescent="0.35">
      <c r="A44" s="3">
        <v>43</v>
      </c>
      <c r="B44" s="4" t="s">
        <v>17</v>
      </c>
      <c r="C44" s="3">
        <v>2021</v>
      </c>
      <c r="D44" s="5">
        <f>(2400-2860)/2860</f>
        <v>-0.16083916083916083</v>
      </c>
      <c r="E44" s="5">
        <f t="shared" ref="E44:E45" si="1">(7985971000000/500)/(22400000+9751152870)</f>
        <v>1.6342001943864248</v>
      </c>
      <c r="F44" s="5">
        <f>1667687/192207461</f>
        <v>8.6764946132866297E-3</v>
      </c>
      <c r="G44" s="5">
        <f>147010107/45197354</f>
        <v>3.2526264037492107</v>
      </c>
    </row>
    <row r="45" spans="1:7" x14ac:dyDescent="0.35">
      <c r="A45" s="3">
        <v>44</v>
      </c>
      <c r="B45" s="4" t="s">
        <v>17</v>
      </c>
      <c r="C45" s="3">
        <v>2022</v>
      </c>
      <c r="D45" s="5">
        <f>(2650-2400)/2400</f>
        <v>0.10416666666666667</v>
      </c>
      <c r="E45" s="5">
        <f t="shared" si="1"/>
        <v>1.6342001943864248</v>
      </c>
      <c r="F45" s="5">
        <f>3429634/197729688</f>
        <v>1.7345063529357312E-2</v>
      </c>
      <c r="G45" s="5">
        <f>150251206/47478482</f>
        <v>3.1646168889729878</v>
      </c>
    </row>
    <row r="46" spans="1:7" x14ac:dyDescent="0.35">
      <c r="A46" s="3">
        <v>45</v>
      </c>
      <c r="B46" s="4" t="s">
        <v>18</v>
      </c>
      <c r="C46" s="3">
        <v>2019</v>
      </c>
      <c r="D46" s="5">
        <f>(112-112)/112</f>
        <v>0</v>
      </c>
      <c r="E46" s="5">
        <f>(32496000000/1000)/(10755117153+53354313204)</f>
        <v>5.0688330591993507E-4</v>
      </c>
      <c r="F46" s="5">
        <f>-137559/8097328</f>
        <v>-1.6988196600162424E-2</v>
      </c>
      <c r="G46" s="5">
        <f>7547795/549533</f>
        <v>13.734925837028895</v>
      </c>
    </row>
    <row r="47" spans="1:7" x14ac:dyDescent="0.35">
      <c r="A47" s="3">
        <v>46</v>
      </c>
      <c r="B47" s="4" t="s">
        <v>18</v>
      </c>
      <c r="C47" s="3">
        <v>2020</v>
      </c>
      <c r="D47" s="5">
        <f>(71-112)/112</f>
        <v>-0.36607142857142855</v>
      </c>
      <c r="E47" s="5">
        <f>(1583496000000/1000)/(1075511715+5335431323+2749411299)</f>
        <v>0.17286405544423428</v>
      </c>
      <c r="F47" s="5">
        <f>-308158/5337281</f>
        <v>-5.7736888876564675E-2</v>
      </c>
      <c r="G47" s="5">
        <f>3975700/1361581</f>
        <v>2.9199144230126595</v>
      </c>
    </row>
    <row r="48" spans="1:7" x14ac:dyDescent="0.35">
      <c r="A48" s="3">
        <v>47</v>
      </c>
      <c r="B48" s="4" t="s">
        <v>18</v>
      </c>
      <c r="C48" s="3">
        <v>2021</v>
      </c>
      <c r="D48" s="5">
        <f>(50-71)/71</f>
        <v>-0.29577464788732394</v>
      </c>
      <c r="E48" s="5">
        <f>(241475000000/1000)/(1075511715+5335431323+45459495228)</f>
        <v>4.6553491366638769E-3</v>
      </c>
      <c r="F48" s="5">
        <f>-265176/8849611</f>
        <v>-2.9964706923276064E-2</v>
      </c>
      <c r="G48" s="5">
        <f>6958464/1891147</f>
        <v>3.6794939790508088</v>
      </c>
    </row>
    <row r="49" spans="1:7" x14ac:dyDescent="0.35">
      <c r="A49" s="3">
        <v>48</v>
      </c>
      <c r="B49" s="4" t="s">
        <v>18</v>
      </c>
      <c r="C49" s="3">
        <v>2022</v>
      </c>
      <c r="D49" s="5">
        <f>(50-50)/50</f>
        <v>0</v>
      </c>
      <c r="E49" s="5">
        <f>(241475000000/1000)/(1075511715+5335431323+45459495228)</f>
        <v>4.6553491366638769E-3</v>
      </c>
      <c r="F49" s="5">
        <f>-239287/7223058</f>
        <v>-3.312821245516788E-2</v>
      </c>
      <c r="G49" s="5">
        <f>5581282/1641776</f>
        <v>3.3995392794144879</v>
      </c>
    </row>
    <row r="50" spans="1:7" x14ac:dyDescent="0.35">
      <c r="A50" s="3">
        <v>49</v>
      </c>
      <c r="B50" s="4" t="s">
        <v>19</v>
      </c>
      <c r="C50" s="3">
        <v>2019</v>
      </c>
      <c r="D50" s="5">
        <f>(49-91)/91</f>
        <v>-0.46153846153846156</v>
      </c>
      <c r="E50" s="5">
        <f>(17703000000/100)/11175060000</f>
        <v>1.5841525683083581E-2</v>
      </c>
      <c r="F50" s="5">
        <f>11841/4809743</f>
        <v>2.4618779007527015E-3</v>
      </c>
      <c r="G50" s="5">
        <f>3669743/ 1140000</f>
        <v>3.2190728070175441</v>
      </c>
    </row>
    <row r="51" spans="1:7" x14ac:dyDescent="0.35">
      <c r="A51" s="3">
        <v>50</v>
      </c>
      <c r="B51" s="4" t="s">
        <v>19</v>
      </c>
      <c r="C51" s="3">
        <v>2020</v>
      </c>
      <c r="D51" s="5">
        <f>(66-49)/49</f>
        <v>0.34693877551020408</v>
      </c>
      <c r="E51" s="5">
        <f>(17703000000/100)/11175060000</f>
        <v>1.5841525683083581E-2</v>
      </c>
      <c r="F51" s="5">
        <f>3198/5365456</f>
        <v>5.9603508070889038E-4</v>
      </c>
      <c r="G51" s="5">
        <f>4226331/1139125</f>
        <v>3.7101556018874136</v>
      </c>
    </row>
    <row r="52" spans="1:7" x14ac:dyDescent="0.35">
      <c r="A52" s="3">
        <v>51</v>
      </c>
      <c r="B52" s="4" t="s">
        <v>19</v>
      </c>
      <c r="C52" s="3">
        <v>2021</v>
      </c>
      <c r="D52" s="5">
        <f>(216-66)/66</f>
        <v>2.2727272727272729</v>
      </c>
      <c r="E52" s="5">
        <f>(17703000000/100)/(11175060000)</f>
        <v>1.5841525683083581E-2</v>
      </c>
      <c r="F52" s="5">
        <f>10866/8575950</f>
        <v>1.267031640809473E-3</v>
      </c>
      <c r="G52" s="5">
        <f>6427061/2148889</f>
        <v>2.9908762155699993</v>
      </c>
    </row>
    <row r="53" spans="1:7" x14ac:dyDescent="0.35">
      <c r="A53" s="3">
        <v>52</v>
      </c>
      <c r="B53" s="4" t="s">
        <v>19</v>
      </c>
      <c r="C53" s="3">
        <v>2022</v>
      </c>
      <c r="D53" s="5">
        <f>(90-216)/216</f>
        <v>-0.58333333333333337</v>
      </c>
      <c r="E53" s="5">
        <f>(542110000000/100)/(16470997103)</f>
        <v>0.32913004392506451</v>
      </c>
      <c r="F53" s="5">
        <f>46043/8968132</f>
        <v>5.1340680534140218E-3</v>
      </c>
      <c r="G53" s="5">
        <f>5829370/3138762</f>
        <v>1.857219502466259</v>
      </c>
    </row>
    <row r="54" spans="1:7" x14ac:dyDescent="0.35">
      <c r="A54" s="3">
        <v>53</v>
      </c>
      <c r="B54" s="4" t="s">
        <v>20</v>
      </c>
      <c r="C54" s="3">
        <v>2019</v>
      </c>
      <c r="D54" s="5">
        <f>(930-590)/590</f>
        <v>0.57627118644067798</v>
      </c>
      <c r="E54" s="5">
        <f>(844450000000/100)/2725000000</f>
        <v>3.0988990825688072</v>
      </c>
      <c r="F54" s="5">
        <f>7115/5262429</f>
        <v>1.3520372436378713E-3</v>
      </c>
      <c r="G54" s="5">
        <f>4041333/1221096</f>
        <v>3.3095948230114587</v>
      </c>
    </row>
    <row r="55" spans="1:7" x14ac:dyDescent="0.35">
      <c r="A55" s="3">
        <v>54</v>
      </c>
      <c r="B55" s="4" t="s">
        <v>20</v>
      </c>
      <c r="C55" s="3">
        <v>2020</v>
      </c>
      <c r="D55" s="5">
        <f>(810-930)/930</f>
        <v>-0.12903225806451613</v>
      </c>
      <c r="E55" s="5">
        <f>(551512000000/100)/5654375000</f>
        <v>0.97537216756935996</v>
      </c>
      <c r="F55" s="5">
        <f>19376/8437685</f>
        <v>2.2963644648976585E-3</v>
      </c>
      <c r="G55" s="5">
        <f>7220541/1217144</f>
        <v>5.932363795902539</v>
      </c>
    </row>
    <row r="56" spans="1:7" x14ac:dyDescent="0.35">
      <c r="A56" s="3">
        <v>55</v>
      </c>
      <c r="B56" s="4" t="s">
        <v>20</v>
      </c>
      <c r="C56" s="3">
        <v>2021</v>
      </c>
      <c r="D56" s="5">
        <f>(3890-810)/810</f>
        <v>3.8024691358024691</v>
      </c>
      <c r="E56" s="5">
        <f>(551512000000/100)/5654375000</f>
        <v>0.97537216756935996</v>
      </c>
      <c r="F56" s="5">
        <f>39748/15055850</f>
        <v>2.6400369291670681E-3</v>
      </c>
      <c r="G56" s="5">
        <f>12682175/2373675</f>
        <v>5.3428439023876475</v>
      </c>
    </row>
    <row r="57" spans="1:7" x14ac:dyDescent="0.35">
      <c r="A57" s="3">
        <v>56</v>
      </c>
      <c r="B57" s="4" t="s">
        <v>20</v>
      </c>
      <c r="C57" s="3">
        <v>2022</v>
      </c>
      <c r="D57" s="5">
        <f>(3930-3890)/3890</f>
        <v>1.0282776349614395E-2</v>
      </c>
      <c r="E57" s="5">
        <f>(1707342000000/100)/5937093750</f>
        <v>2.875720128219299</v>
      </c>
      <c r="F57" s="5">
        <f>157048/20552736</f>
        <v>7.6412211006845997E-3</v>
      </c>
      <c r="G57" s="5">
        <f>17264648/3288088</f>
        <v>5.2506648240558036</v>
      </c>
    </row>
    <row r="58" spans="1:7" x14ac:dyDescent="0.35">
      <c r="A58" s="3">
        <v>57</v>
      </c>
      <c r="B58" s="4" t="s">
        <v>21</v>
      </c>
      <c r="C58" s="3">
        <v>2019</v>
      </c>
      <c r="D58" s="5">
        <f>(982-2324)/2324</f>
        <v>-0.57745266781411364</v>
      </c>
      <c r="E58" s="5">
        <f>(1058541000000/250)/(7414714661+2424072500)</f>
        <v>0.43035426325551751</v>
      </c>
      <c r="F58" s="5">
        <f>1564492/123536474</f>
        <v>1.2664211219109265E-2</v>
      </c>
      <c r="G58" s="5">
        <f>105920991/12042629</f>
        <v>8.7955039551579635</v>
      </c>
    </row>
    <row r="59" spans="1:7" x14ac:dyDescent="0.35">
      <c r="A59" s="3">
        <v>58</v>
      </c>
      <c r="B59" s="4" t="s">
        <v>21</v>
      </c>
      <c r="C59" s="3">
        <v>2020</v>
      </c>
      <c r="D59" s="5">
        <f>(1466-982)/982</f>
        <v>0.49287169042769857</v>
      </c>
      <c r="E59" s="5">
        <f>(1058541000000/250)/(7414714661+2424072500)</f>
        <v>0.43035426325551751</v>
      </c>
      <c r="F59" s="5">
        <f>1689996/140934002</f>
        <v>1.1991400059724409E-2</v>
      </c>
      <c r="G59" s="5">
        <f>122676884/12005800</f>
        <v>10.218134901464293</v>
      </c>
    </row>
    <row r="60" spans="1:7" x14ac:dyDescent="0.35">
      <c r="A60" s="3">
        <v>59</v>
      </c>
      <c r="B60" s="4" t="s">
        <v>21</v>
      </c>
      <c r="C60" s="3">
        <v>2021</v>
      </c>
      <c r="D60" s="5">
        <f>(1316-1466)/1466</f>
        <v>-0.10231923601637108</v>
      </c>
      <c r="E60" s="5">
        <f>(1058541000000/250)/(7414714661+2424072500)</f>
        <v>0.43035426325551751</v>
      </c>
      <c r="F60" s="5">
        <f>2018654/158356097</f>
        <v>1.274756096066197E-2</v>
      </c>
      <c r="G60" s="5">
        <f>137955374/13084033</f>
        <v>10.543795938148429</v>
      </c>
    </row>
    <row r="61" spans="1:7" x14ac:dyDescent="0.35">
      <c r="A61" s="3">
        <v>60</v>
      </c>
      <c r="B61" s="4" t="s">
        <v>21</v>
      </c>
      <c r="C61" s="3">
        <v>2022</v>
      </c>
      <c r="D61" s="5">
        <f>(1365-1316)/1316</f>
        <v>3.7234042553191488E-2</v>
      </c>
      <c r="E61" s="5">
        <f>(1812876000000/250)/(7414714661+2424072500)</f>
        <v>0.73703230706567779</v>
      </c>
      <c r="F61" s="5">
        <f>2245282/181241291</f>
        <v>1.2388358014951461E-2</v>
      </c>
      <c r="G61" s="5">
        <f>158120881/14745986</f>
        <v>10.722977832747162</v>
      </c>
    </row>
    <row r="62" spans="1:7" x14ac:dyDescent="0.35">
      <c r="A62" s="3">
        <v>61</v>
      </c>
      <c r="B62" s="4" t="s">
        <v>22</v>
      </c>
      <c r="C62" s="3">
        <v>2019</v>
      </c>
      <c r="D62" s="5">
        <f>(625-745)/745</f>
        <v>-0.16107382550335569</v>
      </c>
      <c r="E62" s="5">
        <f>(528753000000/250)/3068222600</f>
        <v>0.68932808199770124</v>
      </c>
      <c r="F62" s="5">
        <f>1376505/76756313</f>
        <v>1.7933443468031093E-2</v>
      </c>
      <c r="G62" s="5">
        <f>67734755/9021558</f>
        <v>7.5080994879155023</v>
      </c>
    </row>
    <row r="63" spans="1:7" x14ac:dyDescent="0.35">
      <c r="A63" s="3">
        <v>62</v>
      </c>
      <c r="B63" s="4" t="s">
        <v>22</v>
      </c>
      <c r="C63" s="3">
        <v>2020</v>
      </c>
      <c r="D63" s="5">
        <f>(760-625)/625</f>
        <v>0.216</v>
      </c>
      <c r="E63" s="5">
        <f>(532734000000/250)/(11934147982+3081350100)</f>
        <v>0.14191577184871967</v>
      </c>
      <c r="F63" s="5">
        <f>1488963/83619452</f>
        <v>1.7806419013604635E-2</v>
      </c>
      <c r="G63" s="5">
        <f>73614502/10004950</f>
        <v>7.3578080849979264</v>
      </c>
    </row>
    <row r="64" spans="1:7" x14ac:dyDescent="0.35">
      <c r="A64" s="3">
        <v>63</v>
      </c>
      <c r="B64" s="4" t="s">
        <v>22</v>
      </c>
      <c r="C64" s="3">
        <v>2021</v>
      </c>
      <c r="D64" s="5">
        <f>(745-760)/760</f>
        <v>-1.9736842105263157E-2</v>
      </c>
      <c r="E64" s="5">
        <f>(532734000000/250)/(11934147982+3081350100)</f>
        <v>0.14191577184871967</v>
      </c>
      <c r="F64" s="5">
        <f>1523070/100723330</f>
        <v>1.5121322934815598E-2</v>
      </c>
      <c r="G64" s="5">
        <f>87947426/10910539</f>
        <v>8.0607773823089772</v>
      </c>
    </row>
    <row r="65" spans="1:7" x14ac:dyDescent="0.35">
      <c r="A65" s="3">
        <v>64</v>
      </c>
      <c r="B65" s="4" t="s">
        <v>22</v>
      </c>
      <c r="C65" s="3">
        <v>2022</v>
      </c>
      <c r="D65" s="5">
        <f>(735-745)/745</f>
        <v>-1.3422818791946308E-2</v>
      </c>
      <c r="E65" s="5">
        <f>(532734000000/250)/(11934147982+3081350100)</f>
        <v>0.14191577184871967</v>
      </c>
      <c r="F65" s="5">
        <f>1542824/103031367</f>
        <v>1.4974313599080948E-2</v>
      </c>
      <c r="G65" s="5">
        <f>89715529/11445861</f>
        <v>7.838250787773851</v>
      </c>
    </row>
    <row r="66" spans="1:7" x14ac:dyDescent="0.35">
      <c r="A66" s="3">
        <v>65</v>
      </c>
      <c r="B66" s="4" t="s">
        <v>23</v>
      </c>
      <c r="C66" s="3">
        <v>2019</v>
      </c>
      <c r="D66" s="5">
        <f>(131-185)/185</f>
        <v>-0.29189189189189191</v>
      </c>
      <c r="E66" s="5">
        <f>(-30150000000/250)/20436685984</f>
        <v>-5.901152471316457E-3</v>
      </c>
      <c r="F66" s="5">
        <f>5277/23021785</f>
        <v>2.2921767360784578E-4</v>
      </c>
      <c r="G66" s="5">
        <f>18332221/4689564</f>
        <v>3.9091525352889951</v>
      </c>
    </row>
    <row r="67" spans="1:7" x14ac:dyDescent="0.35">
      <c r="A67" s="3">
        <v>66</v>
      </c>
      <c r="B67" s="4" t="s">
        <v>23</v>
      </c>
      <c r="C67" s="3">
        <v>2020</v>
      </c>
      <c r="D67" s="5">
        <f>(100-131)/131</f>
        <v>-0.23664122137404581</v>
      </c>
      <c r="E67" s="5">
        <f>(-30150000000/250)/20436685984</f>
        <v>-5.901152471316457E-3</v>
      </c>
      <c r="F67" s="5">
        <f>-422168/18297700</f>
        <v>-2.3072189400853659E-2</v>
      </c>
      <c r="G67" s="5">
        <f>14185258/4112442</f>
        <v>3.4493515045318572</v>
      </c>
    </row>
    <row r="68" spans="1:7" x14ac:dyDescent="0.35">
      <c r="A68" s="3">
        <v>67</v>
      </c>
      <c r="B68" s="4" t="s">
        <v>23</v>
      </c>
      <c r="C68" s="3">
        <v>2021</v>
      </c>
      <c r="D68" s="5">
        <f>(167-100)/100</f>
        <v>0.67</v>
      </c>
      <c r="E68" s="5">
        <f t="shared" ref="E68:E69" si="2">(-30150000000/250)/20436685984</f>
        <v>-5.901152471316457E-3</v>
      </c>
      <c r="F68" s="5">
        <f>-1578777/17701527</f>
        <v>-8.9188746259009175E-2</v>
      </c>
      <c r="G68" s="5">
        <f>13674979/4026548</f>
        <v>3.3962041431022305</v>
      </c>
    </row>
    <row r="69" spans="1:7" x14ac:dyDescent="0.35">
      <c r="A69" s="3">
        <v>68</v>
      </c>
      <c r="B69" s="4" t="s">
        <v>23</v>
      </c>
      <c r="C69" s="3">
        <v>2022</v>
      </c>
      <c r="D69" s="5">
        <f>(97-167)/167</f>
        <v>-0.41916167664670656</v>
      </c>
      <c r="E69" s="5">
        <f t="shared" si="2"/>
        <v>-5.901152471316457E-3</v>
      </c>
      <c r="F69" s="5">
        <f>-400732/16717087</f>
        <v>-2.3971401237548144E-2</v>
      </c>
      <c r="G69" s="5">
        <f>12063668/4653419</f>
        <v>2.5924310705741305</v>
      </c>
    </row>
    <row r="70" spans="1:7" x14ac:dyDescent="0.35">
      <c r="A70" s="3">
        <v>69</v>
      </c>
      <c r="B70" s="4" t="s">
        <v>24</v>
      </c>
      <c r="C70" s="3">
        <v>2019</v>
      </c>
      <c r="D70" s="5">
        <f>(113-121)/121</f>
        <v>-6.6115702479338845E-2</v>
      </c>
      <c r="E70" s="5">
        <f>(296930018000/100)/4443461538</f>
        <v>0.66824032448730963</v>
      </c>
      <c r="F70" s="5">
        <f>59746814/7569580138</f>
        <v>7.8930155848493371E-3</v>
      </c>
      <c r="G70" s="5">
        <f>6340648554/1228931584</f>
        <v>5.1594805085585627</v>
      </c>
    </row>
    <row r="71" spans="1:7" x14ac:dyDescent="0.35">
      <c r="A71" s="3">
        <v>70</v>
      </c>
      <c r="B71" s="4" t="s">
        <v>24</v>
      </c>
      <c r="C71" s="3">
        <v>2020</v>
      </c>
      <c r="D71" s="5">
        <f>(144-113)/113</f>
        <v>0.27433628318584069</v>
      </c>
      <c r="E71" s="5">
        <f>(296930018000/100)/4443461538</f>
        <v>0.66824032448730963</v>
      </c>
      <c r="F71" s="5">
        <f>66986471/10110519691</f>
        <v>6.6254231283114761E-3</v>
      </c>
      <c r="G71" s="5">
        <f>8826257598/1284262093</f>
        <v>6.8726295404251259</v>
      </c>
    </row>
    <row r="72" spans="1:7" x14ac:dyDescent="0.35">
      <c r="A72" s="3">
        <v>71</v>
      </c>
      <c r="B72" s="4" t="s">
        <v>24</v>
      </c>
      <c r="C72" s="3">
        <v>2021</v>
      </c>
      <c r="D72" s="5">
        <f>(574-144)/144</f>
        <v>2.9861111111111112</v>
      </c>
      <c r="E72" s="5">
        <f>(296930018000/100)/4443461538</f>
        <v>0.66824032448730963</v>
      </c>
      <c r="F72" s="5">
        <f>80162068/14234358584</f>
        <v>5.6315897570618631E-3</v>
      </c>
      <c r="G72" s="5">
        <f>12903147645/1331210939</f>
        <v>9.6927896751605651</v>
      </c>
    </row>
    <row r="73" spans="1:7" x14ac:dyDescent="0.35">
      <c r="A73" s="3">
        <v>72</v>
      </c>
      <c r="B73" s="4" t="s">
        <v>24</v>
      </c>
      <c r="C73" s="3">
        <v>2022</v>
      </c>
      <c r="D73" s="5">
        <f>(696-574)/574</f>
        <v>0.21254355400696864</v>
      </c>
      <c r="E73" s="5">
        <f>(1586752423000/100)/8620315383</f>
        <v>1.8407127262758989</v>
      </c>
      <c r="F73" s="5">
        <f>114940964/14956302274</f>
        <v>7.6851190818611028E-3</v>
      </c>
      <c r="G73" s="5">
        <f>11803688126/3152614148</f>
        <v>3.7440953988892649</v>
      </c>
    </row>
    <row r="74" spans="1:7" x14ac:dyDescent="0.35">
      <c r="A74" s="3">
        <v>73</v>
      </c>
      <c r="B74" s="4" t="s">
        <v>25</v>
      </c>
      <c r="C74" s="3">
        <v>2019</v>
      </c>
      <c r="D74" s="5">
        <f>(3775-3275)/3275</f>
        <v>0.15267175572519084</v>
      </c>
      <c r="E74" s="5">
        <f>(17316192000000/250)/46666666666</f>
        <v>1.4842450285926321</v>
      </c>
      <c r="F74" s="5">
        <f>28455592/1318246335</f>
        <v>2.1585944329592998E-2</v>
      </c>
      <c r="G74" s="5">
        <f>1025749580/209034525</f>
        <v>4.9070821195685257</v>
      </c>
    </row>
    <row r="75" spans="1:7" x14ac:dyDescent="0.35">
      <c r="A75" s="3">
        <v>74</v>
      </c>
      <c r="B75" s="4" t="s">
        <v>25</v>
      </c>
      <c r="C75" s="3">
        <v>2020</v>
      </c>
      <c r="D75" s="5">
        <f>(3288-3775)/3775</f>
        <v>-0.12900662251655629</v>
      </c>
      <c r="E75" s="5">
        <f>(17316192000000/250)/46666666666</f>
        <v>1.4842450285926321</v>
      </c>
      <c r="F75" s="5">
        <f>17645624/1429334484</f>
        <v>1.2345342673478799E-2</v>
      </c>
      <c r="G75" s="5">
        <f>1151267847/193796083</f>
        <v>5.9406146356425582</v>
      </c>
    </row>
    <row r="76" spans="1:7" x14ac:dyDescent="0.35">
      <c r="A76" s="3">
        <v>75</v>
      </c>
      <c r="B76" s="4" t="s">
        <v>25</v>
      </c>
      <c r="C76" s="3">
        <v>2021</v>
      </c>
      <c r="D76" s="5">
        <f>(3738-3288)/3288</f>
        <v>0.13686131386861314</v>
      </c>
      <c r="E76" s="5">
        <f>(17643264000000/250)/46666666666</f>
        <v>1.5122797714501754</v>
      </c>
      <c r="F76" s="5">
        <f>30551097/1725611128</f>
        <v>1.7704508567587308E-2</v>
      </c>
      <c r="G76" s="5">
        <f>1326592237/222111282</f>
        <v>5.9726467969330796</v>
      </c>
    </row>
    <row r="77" spans="1:7" x14ac:dyDescent="0.35">
      <c r="A77" s="3">
        <v>76</v>
      </c>
      <c r="B77" s="4" t="s">
        <v>25</v>
      </c>
      <c r="C77" s="3">
        <v>2022</v>
      </c>
      <c r="D77" s="5">
        <f>(4975-3738)/3738</f>
        <v>0.33092562867843767</v>
      </c>
      <c r="E77" s="5">
        <f>(17643264000000/250)/46666666666</f>
        <v>1.5122797714501754</v>
      </c>
      <c r="F77" s="5">
        <f>44952368/1992544687</f>
        <v>2.2560280978029579E-2</v>
      </c>
      <c r="G77" s="5">
        <f>1544096631/252245455</f>
        <v>6.1214051646639183</v>
      </c>
    </row>
    <row r="78" spans="1:7" x14ac:dyDescent="0.35">
      <c r="A78" s="3">
        <v>77</v>
      </c>
      <c r="B78" s="4" t="s">
        <v>26</v>
      </c>
      <c r="C78" s="3">
        <v>2019</v>
      </c>
      <c r="D78" s="5">
        <f>(277-269)/269</f>
        <v>2.9739776951672861E-2</v>
      </c>
      <c r="E78" s="5">
        <f>(10989779766/100)/2310000000</f>
        <v>4.7574804181818177E-2</v>
      </c>
      <c r="F78" s="5">
        <f>51167901115/7607653715376</f>
        <v>6.7258451855640332E-3</v>
      </c>
      <c r="G78" s="5">
        <f>6083998151873/1523655563503</f>
        <v>3.993027228467191</v>
      </c>
    </row>
    <row r="79" spans="1:7" x14ac:dyDescent="0.35">
      <c r="A79" s="3">
        <v>78</v>
      </c>
      <c r="B79" s="4" t="s">
        <v>26</v>
      </c>
      <c r="C79" s="3">
        <v>2020</v>
      </c>
      <c r="D79" s="5">
        <f>(370-277)/277</f>
        <v>0.33574007220216606</v>
      </c>
      <c r="E79" s="5">
        <f>(10989779766/100)/2310000000</f>
        <v>4.7574804181818177E-2</v>
      </c>
      <c r="F79" s="5">
        <f>35053333152/7637524325854</f>
        <v>4.5896198370642136E-3</v>
      </c>
      <c r="G79" s="5">
        <f>6128138202911/1509386122943</f>
        <v>4.0600202358839503</v>
      </c>
    </row>
    <row r="80" spans="1:7" x14ac:dyDescent="0.35">
      <c r="A80" s="3">
        <v>79</v>
      </c>
      <c r="B80" s="4" t="s">
        <v>26</v>
      </c>
      <c r="C80" s="3">
        <v>2021</v>
      </c>
      <c r="D80" s="5">
        <f>(2700-370)/370</f>
        <v>6.2972972972972974</v>
      </c>
      <c r="E80" s="5">
        <f>(583045154766/100)/2772000000</f>
        <v>2.103337499155844</v>
      </c>
      <c r="F80" s="5">
        <f>42675045/8664310151340</f>
        <v>4.9253828931089208E-6</v>
      </c>
      <c r="G80" s="5">
        <f>6422689306419/2241620844921</f>
        <v>2.8651987783622483</v>
      </c>
    </row>
    <row r="81" spans="1:7" x14ac:dyDescent="0.35">
      <c r="A81" s="3">
        <v>80</v>
      </c>
      <c r="B81" s="4" t="s">
        <v>26</v>
      </c>
      <c r="C81" s="3">
        <v>2022</v>
      </c>
      <c r="D81" s="5">
        <f>(935-2700)/2700</f>
        <v>-0.65370370370370368</v>
      </c>
      <c r="E81" s="5">
        <f>(1344852028249/100)/3388000000</f>
        <v>3.9694569901092089</v>
      </c>
      <c r="F81" s="5">
        <f>38939042725/8211291790399</f>
        <v>4.7421336032083556E-3</v>
      </c>
      <c r="G81" s="5">
        <f>5134517792869/3076773997530</f>
        <v>1.6687991373402575</v>
      </c>
    </row>
    <row r="82" spans="1:7" x14ac:dyDescent="0.35">
      <c r="A82" s="3">
        <v>81</v>
      </c>
      <c r="B82" s="4" t="s">
        <v>27</v>
      </c>
      <c r="C82" s="3">
        <v>2019</v>
      </c>
      <c r="D82" s="5">
        <f>(895-1105)/1105</f>
        <v>-0.19004524886877827</v>
      </c>
      <c r="E82" s="5">
        <f>(7033450000000/5000)/(71853936+25059752907)</f>
        <v>5.5972943106573012E-2</v>
      </c>
      <c r="F82" s="5">
        <f>3642935/274467227</f>
        <v>1.3272750411108281E-2</v>
      </c>
      <c r="G82" s="5">
        <f xml:space="preserve"> 231173061/43294166</f>
        <v>5.3395891954588057</v>
      </c>
    </row>
    <row r="83" spans="1:7" x14ac:dyDescent="0.35">
      <c r="A83" s="3">
        <v>82</v>
      </c>
      <c r="B83" s="4" t="s">
        <v>27</v>
      </c>
      <c r="C83" s="3">
        <v>2020</v>
      </c>
      <c r="D83" s="5">
        <f>(855-895)/895</f>
        <v>-4.4692737430167599E-2</v>
      </c>
      <c r="E83" s="5">
        <f>(7033450000000/5000)/(71853936+25059752907)</f>
        <v>5.5972943106573012E-2</v>
      </c>
      <c r="F83" s="5">
        <f>2011254/280943605</f>
        <v>7.1589242972802314E-3</v>
      </c>
      <c r="G83" s="5">
        <f xml:space="preserve"> 239890554/41053051</f>
        <v>5.8434281534885191</v>
      </c>
    </row>
    <row r="84" spans="1:7" x14ac:dyDescent="0.35">
      <c r="A84" s="3">
        <v>83</v>
      </c>
      <c r="B84" s="4" t="s">
        <v>27</v>
      </c>
      <c r="C84" s="3">
        <v>2021</v>
      </c>
      <c r="D84" s="5">
        <f>(950-855)/855</f>
        <v>0.1111111111111111</v>
      </c>
      <c r="E84" s="5">
        <f t="shared" ref="E84:E85" si="3">(7033450000000/5000)/(71853936+25059752907)</f>
        <v>5.5972943106573012E-2</v>
      </c>
      <c r="F84" s="5">
        <f>4098604/310786960</f>
        <v>1.3187824868842631E-2</v>
      </c>
      <c r="G84" s="5">
        <f>267398602/43388358</f>
        <v>6.1629113044563706</v>
      </c>
    </row>
    <row r="85" spans="1:7" x14ac:dyDescent="0.35">
      <c r="A85" s="3">
        <v>84</v>
      </c>
      <c r="B85" s="4" t="s">
        <v>27</v>
      </c>
      <c r="C85" s="3">
        <v>2022</v>
      </c>
      <c r="D85" s="5">
        <f>(1180-950)/950</f>
        <v>0.24210526315789474</v>
      </c>
      <c r="E85" s="5">
        <f t="shared" si="3"/>
        <v>5.5972943106573012E-2</v>
      </c>
      <c r="F85" s="5">
        <f>5096771/306754299</f>
        <v>1.6615157527099564E-2</v>
      </c>
      <c r="G85" s="5">
        <f>261478036/ 45276263</f>
        <v>5.7751682377143183</v>
      </c>
    </row>
    <row r="86" spans="1:7" x14ac:dyDescent="0.35">
      <c r="A86" s="3">
        <v>85</v>
      </c>
      <c r="B86" s="4" t="s">
        <v>28</v>
      </c>
      <c r="C86" s="3">
        <v>2019</v>
      </c>
      <c r="D86" s="5">
        <f>(200-246)/246</f>
        <v>-0.18699186991869918</v>
      </c>
      <c r="E86" s="5">
        <f>(6357376000000/900)/(388146231+8891200000+66935849590)</f>
        <v>9.268166321715067E-2</v>
      </c>
      <c r="F86" s="5">
        <f>1924180/169082830</f>
        <v>1.1380102876205703E-2</v>
      </c>
      <c r="G86" s="5">
        <f>142397914/26684916</f>
        <v>5.3362698986948285</v>
      </c>
    </row>
    <row r="87" spans="1:7" x14ac:dyDescent="0.35">
      <c r="A87" s="3">
        <v>86</v>
      </c>
      <c r="B87" s="4" t="s">
        <v>28</v>
      </c>
      <c r="C87" s="3">
        <v>2020</v>
      </c>
      <c r="D87" s="5">
        <f>(300-200)/200</f>
        <v>0.5</v>
      </c>
      <c r="E87" s="5">
        <f>(6357376000000/900)/(388146231+8891200000+66935849590)</f>
        <v>9.268166321715067E-2</v>
      </c>
      <c r="F87" s="5">
        <f>1284392/173224412</f>
        <v>7.4146131320105158E-3</v>
      </c>
      <c r="G87" s="5">
        <f>146000782/27223630</f>
        <v>5.3630166880757635</v>
      </c>
    </row>
    <row r="88" spans="1:7" x14ac:dyDescent="0.35">
      <c r="A88" s="3">
        <v>87</v>
      </c>
      <c r="B88" s="4" t="s">
        <v>28</v>
      </c>
      <c r="C88" s="3">
        <v>2021</v>
      </c>
      <c r="D88" s="5">
        <f>(306-300)/300</f>
        <v>0.02</v>
      </c>
      <c r="E88" s="5">
        <f t="shared" ref="E88:E89" si="4">(6357376000000/900)/(388146231+8891200000+66935849590)</f>
        <v>9.268166321715067E-2</v>
      </c>
      <c r="F88" s="5">
        <f>1700928/168712977</f>
        <v>1.0081785232205345E-2</v>
      </c>
      <c r="G88" s="5">
        <f>139826538/28886439</f>
        <v>4.8405598904039362</v>
      </c>
    </row>
    <row r="89" spans="1:7" x14ac:dyDescent="0.35">
      <c r="A89" s="3">
        <v>88</v>
      </c>
      <c r="B89" s="4" t="s">
        <v>28</v>
      </c>
      <c r="C89" s="3">
        <v>2022</v>
      </c>
      <c r="D89" s="5">
        <f>(234-306)/306</f>
        <v>-0.23529411764705882</v>
      </c>
      <c r="E89" s="5">
        <f t="shared" si="4"/>
        <v>9.268166321715067E-2</v>
      </c>
      <c r="F89" s="5">
        <f>1533211/160813918</f>
        <v>9.5340690598683126E-3</v>
      </c>
      <c r="G89" s="5">
        <f>131279968/29533950</f>
        <v>4.4450528290323508</v>
      </c>
    </row>
    <row r="90" spans="1:7" x14ac:dyDescent="0.35">
      <c r="A90" s="3">
        <v>89</v>
      </c>
      <c r="B90" s="4" t="s">
        <v>29</v>
      </c>
      <c r="C90" s="3">
        <v>2019</v>
      </c>
      <c r="D90" s="5">
        <f>(1027-883)/883</f>
        <v>0.16308040770101925</v>
      </c>
      <c r="E90" s="5">
        <f>(17252901000000/12500)/(26880234+28015858971)</f>
        <v>4.921887515731365E-2</v>
      </c>
      <c r="F90" s="5">
        <f>1500420/161451259</f>
        <v>9.2933310603666459E-3</v>
      </c>
      <c r="G90" s="5">
        <f>137413908/24037341</f>
        <v>5.7166850526437178</v>
      </c>
    </row>
    <row r="91" spans="1:7" x14ac:dyDescent="0.35">
      <c r="A91" s="3">
        <v>90</v>
      </c>
      <c r="B91" s="4" t="s">
        <v>29</v>
      </c>
      <c r="C91" s="3">
        <v>2020</v>
      </c>
      <c r="D91" s="5">
        <f>(2054-1027)/1027</f>
        <v>1</v>
      </c>
      <c r="E91" s="5">
        <f>(16870764000000/12500)/(26880234+28015858971)</f>
        <v>4.8128719171604904E-2</v>
      </c>
      <c r="F91" s="5">
        <f>721587/197726097</f>
        <v>3.6494272174906685E-3</v>
      </c>
      <c r="G91" s="5">
        <f>162654644/35071453</f>
        <v>4.6378073928103296</v>
      </c>
    </row>
    <row r="92" spans="1:7" x14ac:dyDescent="0.35">
      <c r="A92" s="3">
        <v>91</v>
      </c>
      <c r="B92" s="4" t="s">
        <v>29</v>
      </c>
      <c r="C92" s="3">
        <v>2021</v>
      </c>
      <c r="D92" s="5">
        <f>(1440-2054)/2054</f>
        <v>-0.29892891918208375</v>
      </c>
      <c r="E92" s="5">
        <f>(26810147000000/12500)/(26880234+36154479286)</f>
        <v>5.9279468446021513E-2</v>
      </c>
      <c r="F92" s="5">
        <f>1231127/234379042</f>
        <v>5.2527179456600048E-3</v>
      </c>
      <c r="G92" s="5">
        <f>197765327/36613715</f>
        <v>5.4014001856954419</v>
      </c>
    </row>
    <row r="93" spans="1:7" x14ac:dyDescent="0.35">
      <c r="A93" s="3">
        <v>92</v>
      </c>
      <c r="B93" s="4" t="s">
        <v>29</v>
      </c>
      <c r="C93" s="3">
        <v>2022</v>
      </c>
      <c r="D93" s="5">
        <f>(1005-1440)/1440</f>
        <v>-0.30208333333333331</v>
      </c>
      <c r="E93" s="5">
        <f>(26810147000000/12500)/(26880234+36154479286)</f>
        <v>5.9279468446021513E-2</v>
      </c>
      <c r="F93" s="5">
        <f>2013413/255112471</f>
        <v>7.8922562746844317E-3</v>
      </c>
      <c r="G93" s="5">
        <f>217495182/37617289</f>
        <v>5.7817877838033462</v>
      </c>
    </row>
    <row r="94" spans="1:7" x14ac:dyDescent="0.35">
      <c r="A94" s="3">
        <v>93</v>
      </c>
      <c r="B94" s="4" t="s">
        <v>30</v>
      </c>
      <c r="C94" s="3">
        <v>2019</v>
      </c>
      <c r="D94" s="5">
        <f>(500-545)/545</f>
        <v>-8.2568807339449546E-2</v>
      </c>
      <c r="E94" s="5">
        <f>(2116655000000/100)/16981803206</f>
        <v>1.2464253497250191</v>
      </c>
      <c r="F94" s="5">
        <f>6752/36559556</f>
        <v>1.8468495623962173E-4</v>
      </c>
      <c r="G94" s="5">
        <f>26385919/6074463</f>
        <v>4.3437451178812019</v>
      </c>
    </row>
    <row r="95" spans="1:7" x14ac:dyDescent="0.35">
      <c r="A95" s="3">
        <v>94</v>
      </c>
      <c r="B95" s="4" t="s">
        <v>30</v>
      </c>
      <c r="C95" s="3">
        <v>2020</v>
      </c>
      <c r="D95" s="5">
        <f>(520-500)/500</f>
        <v>0.04</v>
      </c>
      <c r="E95" s="5">
        <f>(2368655000000/100)/17461803306</f>
        <v>1.356477884037391</v>
      </c>
      <c r="F95" s="5">
        <f>118522/44612045</f>
        <v>2.6567264513429052E-3</v>
      </c>
      <c r="G95" s="5">
        <f>32557921/6056844</f>
        <v>5.3753936868771923</v>
      </c>
    </row>
    <row r="96" spans="1:7" x14ac:dyDescent="0.35">
      <c r="A96" s="3">
        <v>95</v>
      </c>
      <c r="B96" s="4" t="s">
        <v>30</v>
      </c>
      <c r="C96" s="3">
        <v>2021</v>
      </c>
      <c r="D96" s="5">
        <f>(680-520)/520</f>
        <v>0.30769230769230771</v>
      </c>
      <c r="E96" s="5">
        <f>(2368655000000/100)/17461803306</f>
        <v>1.356477884037391</v>
      </c>
      <c r="F96" s="5">
        <f>127748/52671981</f>
        <v>2.4253502065927613E-3</v>
      </c>
      <c r="G96" s="5">
        <f>38799669/7359416</f>
        <v>5.2721124882735264</v>
      </c>
    </row>
    <row r="97" spans="1:7" x14ac:dyDescent="0.35">
      <c r="A97" s="3">
        <v>96</v>
      </c>
      <c r="B97" s="4" t="s">
        <v>30</v>
      </c>
      <c r="C97" s="3">
        <v>2022</v>
      </c>
      <c r="D97" s="5">
        <f>(850-680)/680</f>
        <v>0.25</v>
      </c>
      <c r="E97" s="5">
        <f>(3552194000000/100)/19716162403</f>
        <v>1.8016660277963121</v>
      </c>
      <c r="F97" s="5">
        <f>221160/47350601</f>
        <v>4.6706904522711336E-3</v>
      </c>
      <c r="G97" s="5">
        <f>33547181/7285008</f>
        <v>4.6049614495962121</v>
      </c>
    </row>
    <row r="98" spans="1:7" x14ac:dyDescent="0.35">
      <c r="A98" s="3">
        <v>97</v>
      </c>
      <c r="B98" s="4" t="s">
        <v>31</v>
      </c>
      <c r="C98" s="3">
        <v>2019</v>
      </c>
      <c r="D98" s="5">
        <f>(1500-1245)/1245</f>
        <v>0.20481927710843373</v>
      </c>
      <c r="E98" s="5">
        <f>(1061770459710/200)/1388800000</f>
        <v>3.8226183025273617</v>
      </c>
      <c r="F98" s="5">
        <f>30952161285/4007412556573</f>
        <v>7.7237271800808084E-3</v>
      </c>
      <c r="G98" s="5">
        <f>2846135386095/1161277170478</f>
        <v>2.4508665617903138</v>
      </c>
    </row>
    <row r="99" spans="1:7" x14ac:dyDescent="0.35">
      <c r="A99" s="3">
        <v>98</v>
      </c>
      <c r="B99" s="4" t="s">
        <v>31</v>
      </c>
      <c r="C99" s="3">
        <v>2020</v>
      </c>
      <c r="D99" s="5">
        <f>(1750-1500)/1500</f>
        <v>0.16666666666666666</v>
      </c>
      <c r="E99" s="5">
        <f>(1061770459710/200)/1388800000</f>
        <v>3.8226183025273617</v>
      </c>
      <c r="F99" s="5">
        <f>-70581531876/3721363459751</f>
        <v>-1.896657841659E-2</v>
      </c>
      <c r="G99" s="5">
        <f>2663693880300/1057669579451</f>
        <v>2.5184556047103408</v>
      </c>
    </row>
    <row r="100" spans="1:7" x14ac:dyDescent="0.35">
      <c r="A100" s="3">
        <v>99</v>
      </c>
      <c r="B100" s="4" t="s">
        <v>31</v>
      </c>
      <c r="C100" s="3">
        <v>2021</v>
      </c>
      <c r="D100" s="5">
        <f>(3080-1750)/1750</f>
        <v>0.76</v>
      </c>
      <c r="E100" s="5">
        <f>(106177045/200)/1388800000</f>
        <v>3.8226182675691245E-4</v>
      </c>
      <c r="F100" s="5">
        <f>-44051239526/4255493556351</f>
        <v>-1.0351617019900519E-2</v>
      </c>
      <c r="G100" s="5">
        <f>2236747328869/2018746227482</f>
        <v>1.1079883634798984</v>
      </c>
    </row>
    <row r="101" spans="1:7" x14ac:dyDescent="0.35">
      <c r="A101" s="3">
        <v>100</v>
      </c>
      <c r="B101" s="4" t="s">
        <v>31</v>
      </c>
      <c r="C101" s="3">
        <v>2022</v>
      </c>
      <c r="D101" s="5">
        <f>(3100-3080)/3080</f>
        <v>6.4935064935064939E-3</v>
      </c>
      <c r="E101" s="5">
        <f>(1858669611371/200)/2388861478</f>
        <v>3.8902833598520608</v>
      </c>
      <c r="F101" s="5">
        <f>16589767385/6060045883689</f>
        <v>2.7375646494117176E-3</v>
      </c>
      <c r="G101" s="5">
        <f>2727803735018/3332242148671</f>
        <v>0.81860909661260106</v>
      </c>
    </row>
    <row r="102" spans="1:7" x14ac:dyDescent="0.35">
      <c r="A102" s="3">
        <v>101</v>
      </c>
      <c r="B102" s="4" t="s">
        <v>32</v>
      </c>
      <c r="C102" s="3">
        <v>2019</v>
      </c>
      <c r="D102" s="5">
        <f>(2902-3779)/3779</f>
        <v>-0.23207197671341626</v>
      </c>
      <c r="E102" s="5">
        <f>(11158702000000/20)/8148931869</f>
        <v>68.467267731429359</v>
      </c>
      <c r="F102" s="5">
        <f>2992418/181631385</f>
        <v>1.6475225358216588E-2</v>
      </c>
      <c r="G102" s="5">
        <f>142608793/31471928</f>
        <v>4.5313014506133849</v>
      </c>
    </row>
    <row r="103" spans="1:7" x14ac:dyDescent="0.35">
      <c r="A103" s="3">
        <v>102</v>
      </c>
      <c r="B103" s="4" t="s">
        <v>32</v>
      </c>
      <c r="C103" s="3">
        <v>2020</v>
      </c>
      <c r="D103" s="5">
        <f>(2623-2902)/2902</f>
        <v>-9.6140592694693314E-2</v>
      </c>
      <c r="E103" s="5">
        <f>(11158702000000/20)/8148931869</f>
        <v>68.467267731429359</v>
      </c>
      <c r="F103" s="5">
        <f>2005677/183165978</f>
        <v>1.0950052088821867E-2</v>
      </c>
      <c r="G103" s="5">
        <f>142277859/32964753</f>
        <v>4.3160602174085758</v>
      </c>
    </row>
    <row r="104" spans="1:7" x14ac:dyDescent="0.35">
      <c r="A104" s="3">
        <v>103</v>
      </c>
      <c r="B104" s="4" t="s">
        <v>32</v>
      </c>
      <c r="C104" s="3">
        <v>2021</v>
      </c>
      <c r="D104" s="5">
        <f>(2563-2623)/2623</f>
        <v>-2.2874571101791842E-2</v>
      </c>
      <c r="E104" s="5">
        <f t="shared" ref="E104" si="5">(11158702000000/20)/8148931869</f>
        <v>68.467267731429359</v>
      </c>
      <c r="F104" s="5">
        <f>3104215/191917794</f>
        <v>1.6174711762266297E-2</v>
      </c>
      <c r="G104" s="5">
        <f>146932964/36078927</f>
        <v>4.072542512142892</v>
      </c>
    </row>
    <row r="105" spans="1:7" x14ac:dyDescent="0.35">
      <c r="A105" s="3">
        <v>104</v>
      </c>
      <c r="B105" s="4" t="s">
        <v>32</v>
      </c>
      <c r="C105" s="3">
        <v>2022</v>
      </c>
      <c r="D105" s="5">
        <f>(2423-2563)/2563</f>
        <v>-5.4623488099882947E-2</v>
      </c>
      <c r="E105" s="5">
        <f>(11160647000000/20)/8148931869</f>
        <v>68.479201810835505</v>
      </c>
      <c r="F105" s="5">
        <f>3629564/209169704</f>
        <v>1.7352245237197448E-2</v>
      </c>
      <c r="G105" s="5">
        <f>159913419/39413024</f>
        <v>4.0573750189784983</v>
      </c>
    </row>
    <row r="106" spans="1:7" x14ac:dyDescent="0.35">
      <c r="A106" s="3">
        <v>105</v>
      </c>
      <c r="B106" s="4" t="s">
        <v>33</v>
      </c>
      <c r="C106" s="3">
        <v>2019</v>
      </c>
      <c r="D106" s="5">
        <f>(68-170)/170</f>
        <v>-0.6</v>
      </c>
      <c r="E106" s="5">
        <f>(282775419000/100)/8951947039</f>
        <v>0.31588146999536781</v>
      </c>
      <c r="F106" s="5">
        <f>-13764500/30456458802</f>
        <v>-4.5194026296636034E-4</v>
      </c>
      <c r="G106" s="5">
        <f>25782313852/2986454603</f>
        <v>8.6330841346460616</v>
      </c>
    </row>
    <row r="107" spans="1:7" x14ac:dyDescent="0.35">
      <c r="A107" s="3">
        <v>106</v>
      </c>
      <c r="B107" s="4" t="s">
        <v>33</v>
      </c>
      <c r="C107" s="3">
        <v>2020</v>
      </c>
      <c r="D107" s="5">
        <f>(110-68)/68</f>
        <v>0.61764705882352944</v>
      </c>
      <c r="E107" s="5">
        <f>(282775419000/100)/8951947039</f>
        <v>0.31588146999536781</v>
      </c>
      <c r="F107" s="5">
        <f>-252193690/26221407472</f>
        <v>-9.6178548107800823E-3</v>
      </c>
      <c r="G107" s="5">
        <f>22197849857/2644375254</f>
        <v>8.3943645378705387</v>
      </c>
    </row>
    <row r="108" spans="1:7" x14ac:dyDescent="0.35">
      <c r="A108" s="3">
        <v>107</v>
      </c>
      <c r="B108" s="4" t="s">
        <v>33</v>
      </c>
      <c r="C108" s="3">
        <v>2021</v>
      </c>
      <c r="D108" s="5">
        <f>(161-110)/110</f>
        <v>0.46363636363636362</v>
      </c>
      <c r="E108" s="5">
        <f>(407785927000/100)/10487132568</f>
        <v>0.38884406615045664</v>
      </c>
      <c r="F108" s="5">
        <f>-119063497/24947143045</f>
        <v>-4.7726305487258251E-3</v>
      </c>
      <c r="G108" s="5">
        <f>20702225559/3014425174</f>
        <v>6.8677191716552457</v>
      </c>
    </row>
    <row r="109" spans="1:7" x14ac:dyDescent="0.35">
      <c r="A109" s="3">
        <v>108</v>
      </c>
      <c r="B109" s="4" t="s">
        <v>33</v>
      </c>
      <c r="C109" s="3">
        <v>2022</v>
      </c>
      <c r="D109" s="5">
        <f>(109-161)/161</f>
        <v>-0.32298136645962733</v>
      </c>
      <c r="E109" s="5">
        <f>(670584856000/100)/15848234714</f>
        <v>0.42312905386719146</v>
      </c>
      <c r="F109" s="5">
        <f>226173453/25932001125</f>
        <v>8.7217894180158448E-3</v>
      </c>
      <c r="G109" s="5">
        <f>22231537644/3700463481</f>
        <v>6.0077711233059459</v>
      </c>
    </row>
    <row r="110" spans="1:7" x14ac:dyDescent="0.35">
      <c r="A110" s="3">
        <v>109</v>
      </c>
      <c r="B110" s="4" t="s">
        <v>34</v>
      </c>
      <c r="C110" s="3">
        <v>2019</v>
      </c>
      <c r="D110" s="5">
        <f>(183-274)/274</f>
        <v>-0.33211678832116787</v>
      </c>
      <c r="E110" s="5">
        <f>(1208657809142/100)/6341554146</f>
        <v>1.905933121937267</v>
      </c>
      <c r="F110" s="5">
        <f>16922035161/5108848026690</f>
        <v>3.3122995776336903E-3</v>
      </c>
      <c r="G110" s="5">
        <f>3087019609149/2021828417541</f>
        <v>1.526845494091686</v>
      </c>
    </row>
    <row r="111" spans="1:7" x14ac:dyDescent="0.35">
      <c r="A111" s="3">
        <v>110</v>
      </c>
      <c r="B111" s="4" t="s">
        <v>34</v>
      </c>
      <c r="C111" s="3">
        <v>2020</v>
      </c>
      <c r="D111" s="5">
        <f>(163-183)/183</f>
        <v>-0.10928961748633879</v>
      </c>
      <c r="E111" s="5">
        <f>(1183980592336/100)/11562788016</f>
        <v>1.0239577087270542</v>
      </c>
      <c r="F111" s="5">
        <f>7875055863/6275182366166</f>
        <v>1.2549525102983562E-3</v>
      </c>
      <c r="G111" s="5">
        <f>3753255346328/2521927019838</f>
        <v>1.4882489924585909</v>
      </c>
    </row>
    <row r="112" spans="1:7" x14ac:dyDescent="0.35">
      <c r="A112" s="3">
        <v>111</v>
      </c>
      <c r="B112" s="4" t="s">
        <v>34</v>
      </c>
      <c r="C112" s="3">
        <v>2021</v>
      </c>
      <c r="D112" s="5">
        <f>(282-163)/163</f>
        <v>0.73006134969325154</v>
      </c>
      <c r="E112" s="5">
        <f>( 1429008469465/100)/14099985111</f>
        <v>1.013482254211864</v>
      </c>
      <c r="F112" s="5">
        <f>17460307203/7721344206381</f>
        <v>2.2613040859609159E-3</v>
      </c>
      <c r="G112" s="5">
        <f>4681638119882/3039706086499</f>
        <v>1.5401614454357018</v>
      </c>
    </row>
    <row r="113" spans="1:7" x14ac:dyDescent="0.35">
      <c r="A113" s="3">
        <v>112</v>
      </c>
      <c r="B113" s="4" t="s">
        <v>34</v>
      </c>
      <c r="C113" s="3">
        <v>2022</v>
      </c>
      <c r="D113" s="5">
        <f>(157-282)/282</f>
        <v>-0.4432624113475177</v>
      </c>
      <c r="E113" s="5">
        <f>(1633485884545/100)/17037792274</f>
        <v>0.9587426928767826</v>
      </c>
      <c r="F113" s="5">
        <f>13210181959/10183411235537</f>
        <v>1.2972256205170713E-3</v>
      </c>
      <c r="G113" s="5">
        <f xml:space="preserve"> 6631051588525/ 3552359647012</f>
        <v>1.8666611062600555</v>
      </c>
    </row>
    <row r="114" spans="1:7" x14ac:dyDescent="0.35">
      <c r="A114" s="3">
        <v>113</v>
      </c>
      <c r="B114" s="4" t="s">
        <v>35</v>
      </c>
      <c r="C114" s="3">
        <v>2019</v>
      </c>
      <c r="D114" s="5">
        <f>(55-81)/81</f>
        <v>-0.32098765432098764</v>
      </c>
      <c r="E114" s="5">
        <f>(414753000000/110.88)/15796195097</f>
        <v>0.23680116232660126</v>
      </c>
      <c r="F114" s="5">
        <f>-58345/25532041</f>
        <v>-2.2851678798416469E-3</v>
      </c>
      <c r="G114" s="5">
        <f>20995806/4536235</f>
        <v>4.6284652360382568</v>
      </c>
    </row>
    <row r="115" spans="1:7" x14ac:dyDescent="0.35">
      <c r="A115" s="3">
        <v>114</v>
      </c>
      <c r="B115" s="4" t="s">
        <v>35</v>
      </c>
      <c r="C115" s="3">
        <v>2020</v>
      </c>
      <c r="D115" s="5">
        <f>(64-55)/55</f>
        <v>0.16363636363636364</v>
      </c>
      <c r="E115" s="5">
        <f>(414753000000/110.88)/15796195097</f>
        <v>0.23680116232660126</v>
      </c>
      <c r="F115" s="5">
        <f>21371/30526965</f>
        <v>7.0006959420957835E-4</v>
      </c>
      <c r="G115" s="5">
        <f>26967430/3559535</f>
        <v>7.5761103627299633</v>
      </c>
    </row>
    <row r="116" spans="1:7" x14ac:dyDescent="0.35">
      <c r="A116" s="3">
        <v>115</v>
      </c>
      <c r="B116" s="4" t="s">
        <v>35</v>
      </c>
      <c r="C116" s="3">
        <v>2021</v>
      </c>
      <c r="D116" s="5">
        <f>(111-64)/64</f>
        <v>0.734375</v>
      </c>
      <c r="E116" s="5">
        <f>(415285000000/110.88)/20223412907</f>
        <v>0.18519897488761386</v>
      </c>
      <c r="F116" s="5">
        <f>-168063/26127820</f>
        <v>-6.4323391695135686E-3</v>
      </c>
      <c r="G116" s="5">
        <f>22173871/3953949</f>
        <v>5.6080316159869534</v>
      </c>
    </row>
    <row r="117" spans="1:7" x14ac:dyDescent="0.35">
      <c r="A117" s="3">
        <v>116</v>
      </c>
      <c r="B117" s="4" t="s">
        <v>35</v>
      </c>
      <c r="C117" s="3">
        <v>2022</v>
      </c>
      <c r="D117" s="5">
        <f>(70-111)/111</f>
        <v>-0.36936936936936937</v>
      </c>
      <c r="E117" s="5">
        <f>(415285000000/110.88)/20223412907</f>
        <v>0.18519897488761386</v>
      </c>
      <c r="F117" s="5">
        <f>54997/25437633</f>
        <v>2.1620329218524381E-3</v>
      </c>
      <c r="G117" s="5">
        <f>21433263/4004370</f>
        <v>5.3524681785149726</v>
      </c>
    </row>
    <row r="118" spans="1:7" x14ac:dyDescent="0.35">
      <c r="A118" s="3">
        <v>117</v>
      </c>
      <c r="B118" s="4" t="s">
        <v>36</v>
      </c>
      <c r="C118" s="3">
        <v>2019</v>
      </c>
      <c r="D118" s="5">
        <f>(2764-2208)/2208</f>
        <v>0.25181159420289856</v>
      </c>
      <c r="E118" s="5">
        <f>(6870014000000/500)/(388256500+6444154200)</f>
        <v>2.0110073301067808</v>
      </c>
      <c r="F118" s="5">
        <f>528114/93408831</f>
        <v>5.6537909140517992E-3</v>
      </c>
      <c r="G118" s="5">
        <f>81066862/12341969</f>
        <v>6.5683896953557408</v>
      </c>
    </row>
    <row r="119" spans="1:7" x14ac:dyDescent="0.35">
      <c r="A119" s="3">
        <v>118</v>
      </c>
      <c r="B119" s="4" t="s">
        <v>36</v>
      </c>
      <c r="C119" s="3">
        <v>2020</v>
      </c>
      <c r="D119" s="5">
        <f>(1682-2764)/2764</f>
        <v>-0.3914616497829233</v>
      </c>
      <c r="E119" s="5">
        <f>(6870014000000/500)/(388256500+6444154200)</f>
        <v>2.0110073301067808</v>
      </c>
      <c r="F119" s="5">
        <f xml:space="preserve"> 64164/92518025</f>
        <v>6.9352972028964089E-4</v>
      </c>
      <c r="G119" s="5">
        <f>79603549/12914476</f>
        <v>6.1639008040279757</v>
      </c>
    </row>
    <row r="120" spans="1:7" x14ac:dyDescent="0.35">
      <c r="A120" s="3">
        <v>119</v>
      </c>
      <c r="B120" s="4" t="s">
        <v>36</v>
      </c>
      <c r="C120" s="3">
        <v>2021</v>
      </c>
      <c r="D120" s="5">
        <f>(281-1682)/1682</f>
        <v>-0.83293697978596903</v>
      </c>
      <c r="E120" s="5">
        <f>(8364829000000/500)/(388256500+11444112350)</f>
        <v>1.4138891554246975</v>
      </c>
      <c r="F120" s="5">
        <f>44127/119104185</f>
        <v>3.7049075983350206E-4</v>
      </c>
      <c r="G120" s="5">
        <f>105125905/13978280</f>
        <v>7.5206609826101634</v>
      </c>
    </row>
    <row r="121" spans="1:7" x14ac:dyDescent="0.35">
      <c r="A121" s="3">
        <v>120</v>
      </c>
      <c r="B121" s="4" t="s">
        <v>36</v>
      </c>
      <c r="C121" s="3">
        <v>2022</v>
      </c>
      <c r="D121" s="5">
        <f>(290-281)/281</f>
        <v>3.2028469750889681E-2</v>
      </c>
      <c r="E121" s="5">
        <f>(8364829000000/500)/(388256500+11444112350)</f>
        <v>1.4138891554246975</v>
      </c>
      <c r="F121" s="5">
        <f>25997/135382812</f>
        <v>1.9202585332619624E-4</v>
      </c>
      <c r="G121" s="5">
        <f>121526152/13856660</f>
        <v>8.7702340968169814</v>
      </c>
    </row>
    <row r="122" spans="1:7" x14ac:dyDescent="0.35">
      <c r="A122" s="3">
        <v>121</v>
      </c>
      <c r="B122" s="4" t="s">
        <v>37</v>
      </c>
      <c r="C122" s="3">
        <v>2019</v>
      </c>
      <c r="D122" s="5">
        <f>(850-897)/897</f>
        <v>-5.2396878483835008E-2</v>
      </c>
      <c r="E122" s="5">
        <f>(851134000000/100)/4437912300</f>
        <v>1.9178702562463887</v>
      </c>
      <c r="F122" s="5">
        <f>45794/13147503</f>
        <v>3.4830948507864955E-3</v>
      </c>
      <c r="G122" s="5">
        <f>11683086/1464417</f>
        <v>7.9779775842536651</v>
      </c>
    </row>
    <row r="123" spans="1:7" x14ac:dyDescent="0.35">
      <c r="A123" s="3">
        <v>122</v>
      </c>
      <c r="B123" s="4" t="s">
        <v>37</v>
      </c>
      <c r="C123" s="3">
        <v>2020</v>
      </c>
      <c r="D123" s="5">
        <f>(651-850)/850</f>
        <v>-0.23411764705882354</v>
      </c>
      <c r="E123" s="5">
        <f>(851134000000/100)/4437912300</f>
        <v>1.9178702562463887</v>
      </c>
      <c r="F123" s="5">
        <f>53607/13737934</f>
        <v>3.9021151215313742E-3</v>
      </c>
      <c r="G123" s="5">
        <f>12218080/1519854</f>
        <v>8.0389826917585498</v>
      </c>
    </row>
    <row r="124" spans="1:7" x14ac:dyDescent="0.35">
      <c r="A124" s="3">
        <v>123</v>
      </c>
      <c r="B124" s="4" t="s">
        <v>37</v>
      </c>
      <c r="C124" s="3">
        <v>2021</v>
      </c>
      <c r="D124" s="5">
        <f>(558-651)/651</f>
        <v>-0.14285714285714285</v>
      </c>
      <c r="E124" s="5">
        <f t="shared" ref="E124" si="6">(851134000000/100)/4437912300</f>
        <v>1.9178702562463887</v>
      </c>
      <c r="F124" s="5">
        <f>64186/20742643</f>
        <v>3.0943983367982568E-3</v>
      </c>
      <c r="G124" s="5">
        <f>18977960/1764683</f>
        <v>10.754316780974261</v>
      </c>
    </row>
    <row r="125" spans="1:7" x14ac:dyDescent="0.35">
      <c r="A125" s="3">
        <v>124</v>
      </c>
      <c r="B125" s="4" t="s">
        <v>37</v>
      </c>
      <c r="C125" s="3">
        <v>2022</v>
      </c>
      <c r="D125" s="5">
        <f>(479-558)/558</f>
        <v>-0.14157706093189965</v>
      </c>
      <c r="E125" s="5">
        <f>(1027864000000/100)/4602279422</f>
        <v>2.233380257371083</v>
      </c>
      <c r="F125" s="5">
        <f>103845/22116366</f>
        <v>4.6953916389338105E-3</v>
      </c>
      <c r="G125" s="5">
        <f>20243766/1872600</f>
        <v>10.810512656199936</v>
      </c>
    </row>
    <row r="126" spans="1:7" x14ac:dyDescent="0.35">
      <c r="A126" s="3">
        <v>125</v>
      </c>
      <c r="B126" s="4" t="s">
        <v>38</v>
      </c>
      <c r="C126" s="3">
        <v>2019</v>
      </c>
      <c r="D126" s="5">
        <f>(1160-1410)/1410</f>
        <v>-0.1773049645390071</v>
      </c>
      <c r="E126" s="5">
        <f>(3444330000000/100)/24087645998</f>
        <v>1.4299155676258208</v>
      </c>
      <c r="F126" s="5">
        <f>3498299/211287370</f>
        <v>1.6557066331035309E-2</v>
      </c>
      <c r="G126" s="5">
        <f>166845656/44441714</f>
        <v>3.7542579028342606</v>
      </c>
    </row>
    <row r="127" spans="1:7" x14ac:dyDescent="0.35">
      <c r="A127" s="3">
        <v>126</v>
      </c>
      <c r="B127" s="4" t="s">
        <v>38</v>
      </c>
      <c r="C127" s="3">
        <v>2020</v>
      </c>
      <c r="D127" s="5">
        <f>(1000-1160)/1160</f>
        <v>-0.13793103448275862</v>
      </c>
      <c r="E127" s="5">
        <f>(3440707000000/100)/24087645998</f>
        <v>1.4284114771056011</v>
      </c>
      <c r="F127" s="5">
        <f>3124205/218067091</f>
        <v>1.432680642307463E-2</v>
      </c>
      <c r="G127" s="5">
        <f>170606759/47460332</f>
        <v>3.594723252252007</v>
      </c>
    </row>
    <row r="128" spans="1:7" x14ac:dyDescent="0.35">
      <c r="A128" s="3">
        <v>127</v>
      </c>
      <c r="B128" s="4" t="s">
        <v>38</v>
      </c>
      <c r="C128" s="3">
        <v>2021</v>
      </c>
      <c r="D128" s="5">
        <f>(745-1000)/1000</f>
        <v>-0.255</v>
      </c>
      <c r="E128" s="5">
        <f t="shared" ref="E128:E129" si="7">(3440707000000/100)/24087645998</f>
        <v>1.4284114771056011</v>
      </c>
      <c r="F128" s="5">
        <f>1816976/204462542</f>
        <v>8.8865959614255405E-3</v>
      </c>
      <c r="G128" s="5">
        <f>155914795/48547747</f>
        <v>3.2115763271156537</v>
      </c>
    </row>
    <row r="129" spans="1:7" x14ac:dyDescent="0.35">
      <c r="A129" s="3">
        <v>128</v>
      </c>
      <c r="B129" s="4" t="s">
        <v>38</v>
      </c>
      <c r="C129" s="3">
        <v>2022</v>
      </c>
      <c r="D129" s="5">
        <f>(1580-745)/745</f>
        <v>1.1208053691275168</v>
      </c>
      <c r="E129" s="5">
        <f t="shared" si="7"/>
        <v>1.4284114771056011</v>
      </c>
      <c r="F129" s="5">
        <f>3273010/212431881</f>
        <v>1.5407338976582334E-2</v>
      </c>
      <c r="G129" s="5">
        <f>161715787/50716094</f>
        <v>3.1886483016614018</v>
      </c>
    </row>
    <row r="130" spans="1:7" x14ac:dyDescent="0.35">
      <c r="A130" s="3">
        <v>129</v>
      </c>
      <c r="B130" s="4" t="s">
        <v>39</v>
      </c>
      <c r="C130" s="3">
        <v>2019</v>
      </c>
      <c r="D130" s="5">
        <f>(57-70)/70</f>
        <v>-0.18571428571428572</v>
      </c>
      <c r="E130" s="5">
        <f>(-5268018000/100)/23959037851</f>
        <v>-2.1987602477034044E-3</v>
      </c>
      <c r="F130" s="5">
        <f>13237011/11135824845</f>
        <v>1.1886870693681424E-3</v>
      </c>
      <c r="G130" s="5">
        <f>583700944/1694565519</f>
        <v>0.34445463303446339</v>
      </c>
    </row>
    <row r="131" spans="1:7" x14ac:dyDescent="0.35">
      <c r="A131" s="3">
        <v>130</v>
      </c>
      <c r="B131" s="4" t="s">
        <v>39</v>
      </c>
      <c r="C131" s="3">
        <v>2020</v>
      </c>
      <c r="D131" s="5">
        <f>(64-57)/57</f>
        <v>0.12280701754385964</v>
      </c>
      <c r="E131" s="5">
        <f>(-9306313000/100)/38813641319</f>
        <v>-2.3976912971173324E-3</v>
      </c>
      <c r="F131" s="5">
        <f>128116/11302082193</f>
        <v>1.1335610360305933E-5</v>
      </c>
      <c r="G131" s="5">
        <f>600931510/3115653432</f>
        <v>0.19287495323709675</v>
      </c>
    </row>
    <row r="132" spans="1:7" x14ac:dyDescent="0.35">
      <c r="A132" s="3">
        <v>131</v>
      </c>
      <c r="B132" s="4" t="s">
        <v>39</v>
      </c>
      <c r="C132" s="3">
        <v>2021</v>
      </c>
      <c r="D132" s="5">
        <f>(68-64)/64</f>
        <v>6.25E-2</v>
      </c>
      <c r="E132" s="5">
        <f t="shared" ref="E132:E133" si="8">(-9306313000/100)/38813641319</f>
        <v>-2.3976912971173324E-3</v>
      </c>
      <c r="F132" s="5">
        <f>-818112377/14426004879</f>
        <v>-5.6710945536343871E-2</v>
      </c>
      <c r="G132" s="5">
        <f>72719723/2301944837</f>
        <v>3.1590558483917314E-2</v>
      </c>
    </row>
    <row r="133" spans="1:7" x14ac:dyDescent="0.35">
      <c r="A133" s="3">
        <v>132</v>
      </c>
      <c r="B133" s="4" t="s">
        <v>39</v>
      </c>
      <c r="C133" s="3">
        <v>2022</v>
      </c>
      <c r="D133" s="5">
        <f>(67-68)/68</f>
        <v>-1.4705882352941176E-2</v>
      </c>
      <c r="E133" s="5">
        <f t="shared" si="8"/>
        <v>-2.3976912971173324E-3</v>
      </c>
      <c r="F133" s="5">
        <f>250531592/14791738012</f>
        <v>1.6937265370489445E-2</v>
      </c>
      <c r="G133" s="5">
        <f>2015192067/2505404019</f>
        <v>0.80433816331321217</v>
      </c>
    </row>
    <row r="134" spans="1:7" x14ac:dyDescent="0.35">
      <c r="A134" s="3">
        <v>133</v>
      </c>
      <c r="B134" s="4" t="s">
        <v>40</v>
      </c>
      <c r="C134" s="3">
        <v>2019</v>
      </c>
      <c r="D134" s="5">
        <f>(720-805)/805</f>
        <v>-0.10559006211180125</v>
      </c>
      <c r="E134" s="5">
        <f>(2946911000000/100)/6580926254</f>
        <v>4.47795779235304</v>
      </c>
      <c r="F134" s="5">
        <f>499791/36940436</f>
        <v>1.3529645399962252E-2</v>
      </c>
      <c r="G134" s="5">
        <f>30004846/6935590</f>
        <v>4.326213919796297</v>
      </c>
    </row>
    <row r="135" spans="1:7" x14ac:dyDescent="0.35">
      <c r="A135" s="3">
        <v>134</v>
      </c>
      <c r="B135" s="4" t="s">
        <v>40</v>
      </c>
      <c r="C135" s="3">
        <v>2020</v>
      </c>
      <c r="D135" s="5">
        <f>(582-720)/720</f>
        <v>-0.19166666666666668</v>
      </c>
      <c r="E135" s="5">
        <f>(2946911000000/100)/6580926254</f>
        <v>4.47795779235304</v>
      </c>
      <c r="F135" s="5">
        <f>536001/38053939</f>
        <v>1.4085296137148904E-2</v>
      </c>
      <c r="G135" s="5">
        <f>30782968/7270971</f>
        <v>4.2336804809151349</v>
      </c>
    </row>
    <row r="136" spans="1:7" x14ac:dyDescent="0.35">
      <c r="A136" s="3">
        <v>135</v>
      </c>
      <c r="B136" s="4" t="s">
        <v>40</v>
      </c>
      <c r="C136" s="3">
        <v>2021</v>
      </c>
      <c r="D136" s="5">
        <f>(560-582)/582</f>
        <v>-3.7800687285223365E-2</v>
      </c>
      <c r="E136" s="5">
        <f>(4172986000000/100)/8568234364</f>
        <v>4.870298620137044</v>
      </c>
      <c r="F136" s="5">
        <f>629168/43801571</f>
        <v>1.4364051006298381E-2</v>
      </c>
      <c r="G136" s="5">
        <f>34544380/9257191</f>
        <v>3.7316265808926272</v>
      </c>
    </row>
    <row r="137" spans="1:7" x14ac:dyDescent="0.35">
      <c r="A137" s="3">
        <v>136</v>
      </c>
      <c r="B137" s="4" t="s">
        <v>40</v>
      </c>
      <c r="C137" s="3">
        <v>2022</v>
      </c>
      <c r="D137" s="5">
        <f>(551-560)/560</f>
        <v>-1.607142857142857E-2</v>
      </c>
      <c r="E137" s="5">
        <f>(4172986000000/100)/8568234364</f>
        <v>4.870298620137044</v>
      </c>
      <c r="F137" s="5">
        <f>860571/51499424</f>
        <v>1.6710303400674927E-2</v>
      </c>
      <c r="G137" s="5">
        <f>41568671/9930753</f>
        <v>4.1858528754063258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2024-08-06T06:54:21Z</dcterms:created>
  <dcterms:modified xsi:type="dcterms:W3CDTF">2024-08-06T07:36:42Z</dcterms:modified>
</cp:coreProperties>
</file>